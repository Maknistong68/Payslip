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2" name="Settings" state="visible" r:id="rId4"/>
    <sheet sheetId="3" name="Payslips" state="visible" r:id="rId5"/>
    <sheet sheetId="4" name="Instructions" state="visible" r:id="rId6"/>
    <sheet sheetId="1" name="Lists" state="hidden" r:id="rId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3" authorId="0">
      <text>
        <r>
          <t>Unique code per employee, e.g. EMP-001. Required.</t>
        </r>
      </text>
    </comment>
    <comment ref="B3" authorId="0">
      <text>
        <r>
          <t>Full name as on the Iqama. English or Arabic. Required.</t>
        </r>
      </text>
    </comment>
    <comment ref="C3" authorId="0">
      <text>
        <r>
          <t>10 digits. Saudi IDs start with 1, Iqama numbers with 2. Also used as the PDF password.</t>
        </r>
      </text>
    </comment>
    <comment ref="D3" authorId="0">
      <text>
        <r>
          <t>Job title or profession.</t>
        </r>
      </text>
    </comment>
    <comment ref="E3" authorId="0">
      <text>
        <r>
          <t>Department, project or site.</t>
        </r>
      </text>
    </comment>
    <comment ref="F3" authorId="0">
      <text>
        <r>
          <t>Date the employee joined, e.g. 15-Mar-2024.</t>
        </r>
      </text>
    </comment>
    <comment ref="G3" authorId="0">
      <text>
        <r>
          <t>Work or personal email. Needed to send the payslip by Outlook.</t>
        </r>
      </text>
    </comment>
    <comment ref="H3" authorId="0">
      <text>
        <r>
          <t>Mobile number, e.g. 0551234567.</t>
        </r>
      </text>
    </comment>
    <comment ref="I3" authorId="0">
      <text>
        <r>
          <t>Days worked in this month (0 to 31).</t>
        </r>
      </text>
    </comment>
    <comment ref="J3" authorId="0">
      <text>
        <r>
          <t>Unpaid absent days (0 to 31, not more than working days).</t>
        </r>
      </text>
    </comment>
    <comment ref="K3" authorId="0">
      <text>
        <r>
          <t>Overtime hours worked this month.</t>
        </r>
      </text>
    </comment>
    <comment ref="L3" authorId="0">
      <text>
        <r>
          <t>Monthly basic salary. Required.</t>
        </r>
      </text>
    </comment>
    <comment ref="M3" authorId="0">
      <text>
        <r>
          <t>Housing allowance for this month.</t>
        </r>
      </text>
    </comment>
    <comment ref="N3" authorId="0">
      <text>
        <r>
          <t>Transport allowance for this month.</t>
        </r>
      </text>
    </comment>
    <comment ref="O3" authorId="0">
      <text>
        <r>
          <t>Food allowance for this month.</t>
        </r>
      </text>
    </comment>
    <comment ref="P3" authorId="0">
      <text>
        <r>
          <t>Overtime amount for this month.</t>
        </r>
      </text>
    </comment>
    <comment ref="Q3" authorId="0">
      <text>
        <r>
          <t>Bonus or any other earning. For a named item add a column "Earning: Item name".</t>
        </r>
      </text>
    </comment>
    <comment ref="R3" authorId="0">
      <text>
        <r>
          <t>Employee share of GOSI.</t>
        </r>
      </text>
    </comment>
    <comment ref="S3" authorId="0">
      <text>
        <r>
          <t>Deduction for absent days.</t>
        </r>
      </text>
    </comment>
    <comment ref="T3" authorId="0">
      <text>
        <r>
          <t>Loan or salary advance repayment.</t>
        </r>
      </text>
    </comment>
    <comment ref="U3" authorId="0">
      <text>
        <r>
          <t>Any other deduction. For a named item add a column "Deduction: Item name".</t>
        </r>
      </text>
    </comment>
    <comment ref="V3" authorId="0">
      <text>
        <r>
          <t>Calculated: earnings minus deductions. Do not type here.</t>
        </r>
      </text>
    </comment>
    <comment ref="W3" authorId="0">
      <text>
        <r>
          <t>Shows ✓ when the row is fine, or a warning to fix before uploading.</t>
        </r>
      </text>
    </comment>
    <comment ref="X3" authorId="0">
      <text>
        <r>
          <t>Nationality (pick from the list or type).</t>
        </r>
      </text>
    </comment>
    <comment ref="Y3" authorId="0">
      <text>
        <r>
          <t>Date of birth. Only needed for the "id+dob" password rule.</t>
        </r>
      </text>
    </comment>
    <comment ref="Z3" authorId="0">
      <text>
        <r>
          <t>Bank name.</t>
        </r>
      </text>
    </comment>
    <comment ref="AA3" authorId="0">
      <text>
        <r>
          <t>IBAN, 24 characters starting with SA.</t>
        </r>
      </text>
    </comment>
    <comment ref="AB3" authorId="0">
      <text>
        <r>
          <t>Note printed on this employee's payslip.</t>
        </r>
      </text>
    </comment>
  </commentList>
</comments>
</file>

<file path=xl/sharedStrings.xml><?xml version="1.0" encoding="utf-8"?>
<sst xmlns="http://schemas.openxmlformats.org/spreadsheetml/2006/main" count="540" uniqueCount="382">
  <si>
    <t>COMPANY SETTINGS  ·  fill once, reused every month</t>
  </si>
  <si>
    <t>Setting</t>
  </si>
  <si>
    <t>Value</t>
  </si>
  <si>
    <t>Notes</t>
  </si>
  <si>
    <t>Company Name *</t>
  </si>
  <si>
    <t>Example Contracting Co. Ltd.</t>
  </si>
  <si>
    <t>Required. Legal name as it appears on the CR.  Example: Example Contracting Co. Ltd.</t>
  </si>
  <si>
    <t xml:space="preserve">LOGO
Insert your company logo here
(Insert ▸ Pictures)</t>
  </si>
  <si>
    <t>CR Number *</t>
  </si>
  <si>
    <t>1010123456</t>
  </si>
  <si>
    <t>Required. Commercial Registration number.  Example: 1010123456</t>
  </si>
  <si>
    <t>Company Address</t>
  </si>
  <si>
    <t>Tabuk, Kingdom of Saudi Arabia</t>
  </si>
  <si>
    <t>Optional.  Example: Tabuk, Kingdom of Saudi Arabia</t>
  </si>
  <si>
    <t>Company Phone</t>
  </si>
  <si>
    <t>+966 11 000 0000</t>
  </si>
  <si>
    <t>Optional.  Example: +966 11 000 0000</t>
  </si>
  <si>
    <t>Company Email</t>
  </si>
  <si>
    <t>hr@example.com</t>
  </si>
  <si>
    <t>Optional.  Example: hr@example.com</t>
  </si>
  <si>
    <t>Currency</t>
  </si>
  <si>
    <t>SAR</t>
  </si>
  <si>
    <t>Optional. 3-letter code, defaults to SAR.  Example: SAR</t>
  </si>
  <si>
    <t>Pay Period *</t>
  </si>
  <si>
    <t>October 2026</t>
  </si>
  <si>
    <t>Required. The month shown on every payslip, e.g. "October 2026".  Example: October 2026</t>
  </si>
  <si>
    <t>Period Start Date</t>
  </si>
  <si>
    <t>Optional. First day of the pay period.  Example: 2026-10-01</t>
  </si>
  <si>
    <t>Period End Date</t>
  </si>
  <si>
    <t>Optional. Last day of the pay period.  Example: 2026-10-31</t>
  </si>
  <si>
    <t xml:space="preserve">STAMP / SIGNATURE (optional)
second picture on this sheet</t>
  </si>
  <si>
    <t>Payment Date</t>
  </si>
  <si>
    <t>Optional. Date salaries were transferred.  Example: 2026-11-05</t>
  </si>
  <si>
    <t>Prepared By</t>
  </si>
  <si>
    <t>HR Department</t>
  </si>
  <si>
    <t>Optional. Printed in the footer.  Example: HR Department</t>
  </si>
  <si>
    <t>Footer Note</t>
  </si>
  <si>
    <t>This is a system-generated payslip and does not require a signature.</t>
  </si>
  <si>
    <t>Optional. Free text printed at the bottom of each payslip.  Example: This is a system-generated payslip and does not require a signature.</t>
  </si>
  <si>
    <t>Default Country Code</t>
  </si>
  <si>
    <t>966</t>
  </si>
  <si>
    <t>Optional. Added to mobile numbers written without a country code (966 = Saudi Arabia).  Example: 966</t>
  </si>
  <si>
    <t>Sender Email</t>
  </si>
  <si>
    <t>payroll@example.com</t>
  </si>
  <si>
    <t>Optional. The From address used in Outlook drafts and mail-merge files.  Example: payroll@example.com</t>
  </si>
  <si>
    <t>Message Subject</t>
  </si>
  <si>
    <t>Payslip {period} - {company}</t>
  </si>
  <si>
    <t>Optional. Subject line for emails and first line of WhatsApp messages. Placeholders: {name} {period} {company} {net} {password_hint}  Example: Payslip {period} - {company}</t>
  </si>
  <si>
    <t>Message Text</t>
  </si>
  <si>
    <t xml:space="preserve">Dear {first_name},
Please find attached your payslip for {period}.
{password_hint}
Best regards</t>
  </si>
  <si>
    <t>Optional. Body of the email / WhatsApp message. Placeholders: {first_name} {name} {period} {company} {net} {password_hint} {password_hint_ar}</t>
  </si>
  <si>
    <t>Password Rule</t>
  </si>
  <si>
    <t>id</t>
  </si>
  <si>
    <t>Optional. PDF password: id (National ID / Iqama number, default), id+dob (ID + birth day and month DDMM), dob (DDMMYYYY), custom (uses the "Payslip Password" column), none.  Example: id</t>
  </si>
  <si>
    <t>Logo</t>
  </si>
  <si>
    <t>(put the picture in the box on the right)</t>
  </si>
  <si>
    <t>Optional. Insert your logo picture anywhere on this sheet (Insert &gt; Pictures). The first picture on this sheet is used as the logo.</t>
  </si>
  <si>
    <t>Stamp / Signature</t>
  </si>
  <si>
    <t>Optional. The second picture on this sheet is used as the stamp or signature.</t>
  </si>
  <si>
    <t>PAYSLIPS  ·  one row per employee  ·  amounts for this month</t>
  </si>
  <si>
    <t>EMPLOYEES</t>
  </si>
  <si>
    <t>TOTAL NET</t>
  </si>
  <si>
    <t>EMPLOYEE</t>
  </si>
  <si>
    <t>CONTACT</t>
  </si>
  <si>
    <t>ATTENDANCE</t>
  </si>
  <si>
    <t>EARNINGS</t>
  </si>
  <si>
    <t>DEDUCTIONS</t>
  </si>
  <si>
    <t>RESULT</t>
  </si>
  <si>
    <t>OPTIONAL  (click − above to fold)</t>
  </si>
  <si>
    <t>Employee ID</t>
  </si>
  <si>
    <t>Employee Name</t>
  </si>
  <si>
    <t>National ID / Iqama</t>
  </si>
  <si>
    <t>Job Title</t>
  </si>
  <si>
    <t>Department</t>
  </si>
  <si>
    <t>Joining Date</t>
  </si>
  <si>
    <t>Email</t>
  </si>
  <si>
    <t>Mobile</t>
  </si>
  <si>
    <t>Working Days</t>
  </si>
  <si>
    <t>Absent Days</t>
  </si>
  <si>
    <t>Overtime Hours</t>
  </si>
  <si>
    <t>Basic Salary</t>
  </si>
  <si>
    <t>Housing Allowance</t>
  </si>
  <si>
    <t>Transport Allowance</t>
  </si>
  <si>
    <t>Food Allowance</t>
  </si>
  <si>
    <t>Overtime Pay</t>
  </si>
  <si>
    <t>Other Earnings</t>
  </si>
  <si>
    <t>GOSI Deduction</t>
  </si>
  <si>
    <t>Absence Deduction</t>
  </si>
  <si>
    <t>Loan / Advance</t>
  </si>
  <si>
    <t>Other Deductions</t>
  </si>
  <si>
    <t>Net Salary</t>
  </si>
  <si>
    <t>Check</t>
  </si>
  <si>
    <t>Nationality</t>
  </si>
  <si>
    <t>Date of Birth</t>
  </si>
  <si>
    <t>Bank Name</t>
  </si>
  <si>
    <t>IBAN</t>
  </si>
  <si>
    <t>Remarks</t>
  </si>
  <si>
    <t>EMP-001</t>
  </si>
  <si>
    <t>Ahmed Hassan</t>
  </si>
  <si>
    <t>2000000000</t>
  </si>
  <si>
    <t>Site Engineer</t>
  </si>
  <si>
    <t>Projects</t>
  </si>
  <si>
    <t>ahmed.hassan1@example.com</t>
  </si>
  <si>
    <t>0550000000</t>
  </si>
  <si>
    <t>Saudi</t>
  </si>
  <si>
    <t>Al Rajhi Bank</t>
  </si>
  <si>
    <t>SA1000000000200000000000</t>
  </si>
  <si>
    <t>Includes overtime for site work</t>
  </si>
  <si>
    <t>EMP-002</t>
  </si>
  <si>
    <t>Mohammed Kumar</t>
  </si>
  <si>
    <t>2000012345</t>
  </si>
  <si>
    <t>Foreman</t>
  </si>
  <si>
    <t>Operations</t>
  </si>
  <si>
    <t>mohammed.kumar2@example.com</t>
  </si>
  <si>
    <t>0550007919</t>
  </si>
  <si>
    <t>Egyptian</t>
  </si>
  <si>
    <t>SNB</t>
  </si>
  <si>
    <t>SA1000987654200000012345</t>
  </si>
  <si>
    <t>EMP-003</t>
  </si>
  <si>
    <t>Fatima Ibrahim</t>
  </si>
  <si>
    <t>2000024690</t>
  </si>
  <si>
    <t>Electrician</t>
  </si>
  <si>
    <t>Finance</t>
  </si>
  <si>
    <t>fatima.ibrahim3@example.com</t>
  </si>
  <si>
    <t>0550015838</t>
  </si>
  <si>
    <t>Indian</t>
  </si>
  <si>
    <t>Riyad Bank</t>
  </si>
  <si>
    <t>SA1001975308200000024690</t>
  </si>
  <si>
    <t>EMP-004</t>
  </si>
  <si>
    <t>Rajesh Youssef</t>
  </si>
  <si>
    <t>2000037035</t>
  </si>
  <si>
    <t>Driver</t>
  </si>
  <si>
    <t>HSE</t>
  </si>
  <si>
    <t>rajesh.youssef4@example.com</t>
  </si>
  <si>
    <t>0550023757</t>
  </si>
  <si>
    <t>Pakistani</t>
  </si>
  <si>
    <t>Alinma Bank</t>
  </si>
  <si>
    <t>SA1002962962200000037035</t>
  </si>
  <si>
    <t>EMP-005</t>
  </si>
  <si>
    <t>Maria Reyes</t>
  </si>
  <si>
    <t>2000049380</t>
  </si>
  <si>
    <t>Accountant</t>
  </si>
  <si>
    <t>Administration</t>
  </si>
  <si>
    <t>maria.reyes5@example.com</t>
  </si>
  <si>
    <t>0550031676</t>
  </si>
  <si>
    <t>Filipino</t>
  </si>
  <si>
    <t>Bank Albilad</t>
  </si>
  <si>
    <t>SA1003950616200000049380</t>
  </si>
  <si>
    <t>EMP-006</t>
  </si>
  <si>
    <t>John Patel</t>
  </si>
  <si>
    <t>2000061725</t>
  </si>
  <si>
    <t>Safety Officer</t>
  </si>
  <si>
    <t>john.patel6@example.com</t>
  </si>
  <si>
    <t>0550039595</t>
  </si>
  <si>
    <t>Bangladeshi</t>
  </si>
  <si>
    <t>SA1004938270200000061725</t>
  </si>
  <si>
    <t>EMP-007</t>
  </si>
  <si>
    <t>Khalid Okafor</t>
  </si>
  <si>
    <t>2000074070</t>
  </si>
  <si>
    <t>Mason</t>
  </si>
  <si>
    <t>khalid.okafor7@example.com</t>
  </si>
  <si>
    <t>0550047514</t>
  </si>
  <si>
    <t>Sudanese</t>
  </si>
  <si>
    <t>SA1005925924200000074070</t>
  </si>
  <si>
    <t>EMP-008</t>
  </si>
  <si>
    <t>Priya Al-Otaibi</t>
  </si>
  <si>
    <t>2000086415</t>
  </si>
  <si>
    <t>Surveyor</t>
  </si>
  <si>
    <t>priya.alotaibi8@example.com</t>
  </si>
  <si>
    <t>0550055433</t>
  </si>
  <si>
    <t>Jordanian</t>
  </si>
  <si>
    <t>SA1006913578200000086415</t>
  </si>
  <si>
    <t>EMP-009</t>
  </si>
  <si>
    <t>Omar Santos</t>
  </si>
  <si>
    <t>2000098760</t>
  </si>
  <si>
    <t>HR Officer</t>
  </si>
  <si>
    <t>omar.santos9@example.com</t>
  </si>
  <si>
    <t>0550063352</t>
  </si>
  <si>
    <t>SA1007901232200000098760</t>
  </si>
  <si>
    <t>EMP-010</t>
  </si>
  <si>
    <t>Sara Sharma</t>
  </si>
  <si>
    <t>2000111105</t>
  </si>
  <si>
    <t>Plumber</t>
  </si>
  <si>
    <t>sara.sharma10@example.com</t>
  </si>
  <si>
    <t>0550071271</t>
  </si>
  <si>
    <t>SA1008888886200000111105</t>
  </si>
  <si>
    <t>EMP-011</t>
  </si>
  <si>
    <t>Ali Rahman</t>
  </si>
  <si>
    <t>2000123450</t>
  </si>
  <si>
    <t>ali.rahman11@example.com</t>
  </si>
  <si>
    <t>0550079190</t>
  </si>
  <si>
    <t>SA1009876540200000123450</t>
  </si>
  <si>
    <t>EMP-012</t>
  </si>
  <si>
    <t>Noor Malik</t>
  </si>
  <si>
    <t>2000135795</t>
  </si>
  <si>
    <t>noor.malik12@example.com</t>
  </si>
  <si>
    <t>0550087109</t>
  </si>
  <si>
    <t>SA1010864194200000135795</t>
  </si>
  <si>
    <t>EMP-013</t>
  </si>
  <si>
    <t>Carlos Haddad</t>
  </si>
  <si>
    <t>2000148140</t>
  </si>
  <si>
    <t>carlos.haddad13@example.com</t>
  </si>
  <si>
    <t>0550095028</t>
  </si>
  <si>
    <t>SA1011851848200000148140</t>
  </si>
  <si>
    <t>EMP-014</t>
  </si>
  <si>
    <t>Aisha Aziz</t>
  </si>
  <si>
    <t>2000160485</t>
  </si>
  <si>
    <t>aisha.aziz14@example.com</t>
  </si>
  <si>
    <t>0550102947</t>
  </si>
  <si>
    <t>SA1012839502200000160485</t>
  </si>
  <si>
    <t>EMP-015</t>
  </si>
  <si>
    <t>Hassan Khan</t>
  </si>
  <si>
    <t>2000172830</t>
  </si>
  <si>
    <t>hassan.khan15@example.com</t>
  </si>
  <si>
    <t>0550110866</t>
  </si>
  <si>
    <t>SA1013827156200000172830</t>
  </si>
  <si>
    <t>EMP-016</t>
  </si>
  <si>
    <t>Deepak Smith</t>
  </si>
  <si>
    <t>2000185175</t>
  </si>
  <si>
    <t>deepak.smith16@example.com</t>
  </si>
  <si>
    <t>0550118785</t>
  </si>
  <si>
    <t>SA1014814810200000185175</t>
  </si>
  <si>
    <t>EMP-017</t>
  </si>
  <si>
    <t>Lina Abdullah</t>
  </si>
  <si>
    <t>2000197520</t>
  </si>
  <si>
    <t>lina.abdullah17@example.com</t>
  </si>
  <si>
    <t>0550126704</t>
  </si>
  <si>
    <t>SA1015802464200000197520</t>
  </si>
  <si>
    <t>EMP-018</t>
  </si>
  <si>
    <t>Yusuf Siddiqui</t>
  </si>
  <si>
    <t>2000209865</t>
  </si>
  <si>
    <t>yusuf.siddiqui18@example.com</t>
  </si>
  <si>
    <t>0550134623</t>
  </si>
  <si>
    <t>SA1016790118200000209865</t>
  </si>
  <si>
    <t>EMP-019</t>
  </si>
  <si>
    <t>Grace Farouk</t>
  </si>
  <si>
    <t>2000222210</t>
  </si>
  <si>
    <t>grace.farouk19@example.com</t>
  </si>
  <si>
    <t>0550142542</t>
  </si>
  <si>
    <t>SA1017777772200000222210</t>
  </si>
  <si>
    <t>EMP-020</t>
  </si>
  <si>
    <t>Tariq Mansour</t>
  </si>
  <si>
    <t>2000234555</t>
  </si>
  <si>
    <t>tariq.mansour20@example.com</t>
  </si>
  <si>
    <t>0550150461</t>
  </si>
  <si>
    <t>SA1018765426200000234555</t>
  </si>
  <si>
    <t>EMP-021</t>
  </si>
  <si>
    <t>2000246900</t>
  </si>
  <si>
    <t>ahmed.hassan21@example.com</t>
  </si>
  <si>
    <t>0550158380</t>
  </si>
  <si>
    <t>SA1019753080200000246900</t>
  </si>
  <si>
    <t>EMP-022</t>
  </si>
  <si>
    <t>2000259245</t>
  </si>
  <si>
    <t>mohammed.kumar22@example.com</t>
  </si>
  <si>
    <t>0550166299</t>
  </si>
  <si>
    <t>SA1020740734200000259245</t>
  </si>
  <si>
    <t>EMP-023</t>
  </si>
  <si>
    <t>2000271590</t>
  </si>
  <si>
    <t>fatima.ibrahim23@example.com</t>
  </si>
  <si>
    <t>0550174218</t>
  </si>
  <si>
    <t>SA1021728388200000271590</t>
  </si>
  <si>
    <t>EMP-024</t>
  </si>
  <si>
    <t>2000283935</t>
  </si>
  <si>
    <t>rajesh.youssef24@example.com</t>
  </si>
  <si>
    <t>0550182137</t>
  </si>
  <si>
    <t>SA1022716042200000283935</t>
  </si>
  <si>
    <t>EMP-025</t>
  </si>
  <si>
    <t>2000296280</t>
  </si>
  <si>
    <t>maria.reyes25@example.com</t>
  </si>
  <si>
    <t>0550190056</t>
  </si>
  <si>
    <t>SA1023703696200000296280</t>
  </si>
  <si>
    <t>HOW TO USE THIS TEMPLATE</t>
  </si>
  <si>
    <t>1.</t>
  </si>
  <si>
    <t>Fill the Settings sheet once: company name, CR number, pay period. Put your logo picture in the box.</t>
  </si>
  <si>
    <t>2.</t>
  </si>
  <si>
    <t>Payslips sheet: one row per employee. Delete the example row. Net Salary and Check fill themselves.</t>
  </si>
  <si>
    <t>3.</t>
  </si>
  <si>
    <t>Fix every row where Check shows ⚠. Hover a column title to see what it needs.</t>
  </si>
  <si>
    <t>4.</t>
  </si>
  <si>
    <t>Extra items: add a column named "Earning: Site Allowance" or "Deduction: Housing Loan".</t>
  </si>
  <si>
    <t>5.</t>
  </si>
  <si>
    <t>Save, then drop the file on the Payslip Generator page. Next month: change the amounts and the pay period.</t>
  </si>
  <si>
    <t>Column</t>
  </si>
  <si>
    <t>Required</t>
  </si>
  <si>
    <t>What to enter</t>
  </si>
  <si>
    <t>Example</t>
  </si>
  <si>
    <t>Yes</t>
  </si>
  <si>
    <t>Unique code per employee, e.g. EMP-001. Required.</t>
  </si>
  <si>
    <t>Full name as on the Iqama. English or Arabic. Required.</t>
  </si>
  <si>
    <t>Ahmed Ali Hassan</t>
  </si>
  <si>
    <t>No</t>
  </si>
  <si>
    <t>10 digits. Saudi IDs start with 1, Iqama numbers with 2. Also used as the PDF password.</t>
  </si>
  <si>
    <t>2456789012</t>
  </si>
  <si>
    <t>Job title or profession.</t>
  </si>
  <si>
    <t>Department, project or site.</t>
  </si>
  <si>
    <t>Date the employee joined, e.g. 15-Mar-2024.</t>
  </si>
  <si>
    <t>2024-03-15</t>
  </si>
  <si>
    <t>Work or personal email. Needed to send the payslip by Outlook.</t>
  </si>
  <si>
    <t>ahmed@example.com</t>
  </si>
  <si>
    <t>Mobile number, e.g. 0551234567.</t>
  </si>
  <si>
    <t>0551234567</t>
  </si>
  <si>
    <t>Days worked in this month (0 to 31).</t>
  </si>
  <si>
    <t>30</t>
  </si>
  <si>
    <t>Unpaid absent days (0 to 31, not more than working days).</t>
  </si>
  <si>
    <t>0</t>
  </si>
  <si>
    <t>Overtime hours worked this month.</t>
  </si>
  <si>
    <t>10</t>
  </si>
  <si>
    <t>Monthly basic salary. Required.</t>
  </si>
  <si>
    <t>4000</t>
  </si>
  <si>
    <t>Housing allowance for this month.</t>
  </si>
  <si>
    <t>1000</t>
  </si>
  <si>
    <t>Transport allowance for this month.</t>
  </si>
  <si>
    <t>400</t>
  </si>
  <si>
    <t>Food allowance for this month.</t>
  </si>
  <si>
    <t>300</t>
  </si>
  <si>
    <t>Overtime amount for this month.</t>
  </si>
  <si>
    <t>250</t>
  </si>
  <si>
    <t>Bonus or any other earning. For a named item add a column "Earning: Item name".</t>
  </si>
  <si>
    <t>Employee share of GOSI.</t>
  </si>
  <si>
    <t>Deduction for absent days.</t>
  </si>
  <si>
    <t>Loan or salary advance repayment.</t>
  </si>
  <si>
    <t>Any other deduction. For a named item add a column "Deduction: Item name".</t>
  </si>
  <si>
    <t>Formula</t>
  </si>
  <si>
    <t>Calculated: earnings minus deductions. Do not type here.</t>
  </si>
  <si>
    <t/>
  </si>
  <si>
    <t>Shows ✓ when the row is fine, or a warning to fix before uploading.</t>
  </si>
  <si>
    <t>Nationality (pick from the list or type).</t>
  </si>
  <si>
    <t>Date of birth. Only needed for the "id+dob" password rule.</t>
  </si>
  <si>
    <t>1990-03-15</t>
  </si>
  <si>
    <t>Bank name.</t>
  </si>
  <si>
    <t>IBAN, 24 characters starting with SA.</t>
  </si>
  <si>
    <t>SA0380000000608010167519</t>
  </si>
  <si>
    <t>Note printed on this employee's payslip.</t>
  </si>
  <si>
    <t>Pay period</t>
  </si>
  <si>
    <t>Password rule</t>
  </si>
  <si>
    <t>July 2026</t>
  </si>
  <si>
    <t>AED</t>
  </si>
  <si>
    <t>August 2026</t>
  </si>
  <si>
    <t>id+dob</t>
  </si>
  <si>
    <t>QAR</t>
  </si>
  <si>
    <t>September 2026</t>
  </si>
  <si>
    <t>dob</t>
  </si>
  <si>
    <t>KWD</t>
  </si>
  <si>
    <t>custom</t>
  </si>
  <si>
    <t>BHD</t>
  </si>
  <si>
    <t>November 2026</t>
  </si>
  <si>
    <t>none</t>
  </si>
  <si>
    <t>OMR</t>
  </si>
  <si>
    <t>December 2026</t>
  </si>
  <si>
    <t>USD</t>
  </si>
  <si>
    <t>Nepali</t>
  </si>
  <si>
    <t>January 2027</t>
  </si>
  <si>
    <t>EUR</t>
  </si>
  <si>
    <t>Sri Lankan</t>
  </si>
  <si>
    <t>February 2027</t>
  </si>
  <si>
    <t>March 2027</t>
  </si>
  <si>
    <t>Yemeni</t>
  </si>
  <si>
    <t>April 2027</t>
  </si>
  <si>
    <t>May 2027</t>
  </si>
  <si>
    <t>Syrian</t>
  </si>
  <si>
    <t>June 2027</t>
  </si>
  <si>
    <t>Lebanese</t>
  </si>
  <si>
    <t>July 2027</t>
  </si>
  <si>
    <t>Palestinian</t>
  </si>
  <si>
    <t>August 2027</t>
  </si>
  <si>
    <t>Indonesian</t>
  </si>
  <si>
    <t>September 2027</t>
  </si>
  <si>
    <t>Kenyan</t>
  </si>
  <si>
    <t>October 2027</t>
  </si>
  <si>
    <t>Ugandan</t>
  </si>
  <si>
    <t>Ethiopian</t>
  </si>
  <si>
    <t>Nigerian</t>
  </si>
  <si>
    <t>Moroccan</t>
  </si>
  <si>
    <t>Tunisian</t>
  </si>
  <si>
    <t>Turkish</t>
  </si>
  <si>
    <t>Afghan</t>
  </si>
  <si>
    <t>Chinese</t>
  </si>
  <si>
    <t>Vietnamese</t>
  </si>
  <si>
    <t>Thai</t>
  </si>
  <si>
    <t>British</t>
  </si>
  <si>
    <t>American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</si>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</sst>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##"/>
  </numFmts>
  <fonts count="1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334155"/>
    </font>
    <font>
      <b/>
      <color rgb="FF0F172A"/>
    </font>
    <font>
      <i/>
      <color rgb="FF64748B"/>
      <sz val="9"/>
    </font>
    <font>
      <i/>
      <color rgb="FF94A3B8"/>
      <sz val="9"/>
    </font>
    <font>
      <b/>
      <color rgb="FFFFFFFF"/>
    </font>
    <font>
      <b/>
      <color rgb="FFFFFFFF"/>
      <sz val="9"/>
    </font>
    <font>
      <b/>
      <color rgb="FF1E3A8A"/>
    </font>
    <font>
      <b/>
      <color rgb="FF475569"/>
    </font>
    <font>
      <b/>
      <color rgb="FF047857"/>
    </font>
    <font>
      <b/>
      <color rgb="FFB91C1C"/>
    </font>
    <font>
      <b/>
      <color rgb="FF0E7490"/>
    </font>
    <font>
      <b/>
      <color rgb="FF64748B"/>
    </font>
    <font>
      <b/>
      <color rgb="FF0F172A"/>
      <sz val="14"/>
    </font>
    <font>
      <b/>
      <color rgb="FF2563EB"/>
    </font>
  </fonts>
  <fills count="1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475569"/>
      </patternFill>
    </fill>
    <fill>
      <patternFill patternType="solid">
        <fgColor rgb="FF047857"/>
      </patternFill>
    </fill>
    <fill>
      <patternFill patternType="solid">
        <fgColor rgb="FFB91C1C"/>
      </patternFill>
    </fill>
    <fill>
      <patternFill patternType="solid">
        <fgColor rgb="FF0E7490"/>
      </patternFill>
    </fill>
    <fill>
      <patternFill patternType="solid">
        <fgColor rgb="FF64748B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CFFAFE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dashed">
        <color rgb="FF94A3B8"/>
      </left>
      <right style="dashed">
        <color rgb="FF94A3B8"/>
      </right>
      <top style="dashed">
        <color rgb="FF94A3B8"/>
      </top>
      <bottom style="dashed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B91C1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E749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/>
    <xf numFmtId="0" fontId="3" fillId="0" borderId="1" xfId="0" applyFont="1" applyBorder="1"/>
    <xf numFmtId="0" fontId="0" fillId="4" borderId="1" xfId="0" applyFill="1" applyBorder="1" applyAlignment="1" applyProtection="1">
      <alignment vertical="top"/>
      <protection locked="0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49" fontId="0" fillId="4" borderId="1" xfId="0" applyNumberFormat="1" applyFill="1" applyBorder="1" applyAlignment="1" applyProtection="1">
      <alignment vertical="top"/>
      <protection locked="0"/>
    </xf>
    <xf numFmtId="164" fontId="0" fillId="4" borderId="1" xfId="0" applyNumberFormat="1" applyFill="1" applyBorder="1" applyAlignment="1" applyProtection="1">
      <alignment vertical="top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0" fontId="0" fillId="5" borderId="1" xfId="0" applyFill="1" applyBorder="1" applyAlignment="1" applyProtection="1">
      <alignment vertical="top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4" fontId="0" fillId="0" borderId="0" xfId="0" applyNumberFormat="1" applyProtection="1"/>
    <xf numFmtId="0" fontId="0" fillId="0" borderId="0" xfId="0" applyProtection="1"/>
    <xf numFmtId="49" fontId="1" fillId="6" borderId="0" xfId="0" applyNumberFormat="1" applyFont="1" applyFill="1" applyAlignment="1" applyProtection="1">
      <alignment vertical="center" indent="1"/>
      <protection locked="0"/>
    </xf>
    <xf numFmtId="0" fontId="0" fillId="6" borderId="0" xfId="0" applyFill="1" applyProtection="1">
      <protection locked="0"/>
    </xf>
    <xf numFmtId="49" fontId="0" fillId="6" borderId="0" xfId="0" applyNumberFormat="1" applyFill="1" applyProtection="1">
      <protection locked="0"/>
    </xf>
    <xf numFmtId="165" fontId="0" fillId="6" borderId="0" xfId="0" applyNumberFormat="1" applyFill="1" applyProtection="1">
      <protection locked="0"/>
    </xf>
    <xf numFmtId="4" fontId="6" fillId="6" borderId="0" xfId="0" applyNumberFormat="1" applyFont="1" applyFill="1" applyAlignment="1" applyProtection="1">
      <alignment horizontal="right" vertical="center"/>
      <protection locked="0"/>
    </xf>
    <xf numFmtId="1" fontId="6" fillId="6" borderId="0" xfId="0" applyNumberFormat="1" applyFont="1" applyFill="1" applyAlignment="1" applyProtection="1">
      <alignment horizontal="right" vertical="center"/>
      <protection locked="0"/>
    </xf>
    <xf numFmtId="4" fontId="0" fillId="6" borderId="0" xfId="0" applyNumberFormat="1" applyFill="1" applyProtection="1">
      <protection locked="0"/>
    </xf>
    <xf numFmtId="4" fontId="6" fillId="6" borderId="0" xfId="0" applyNumberFormat="1" applyFont="1" applyFill="1" applyAlignment="1" applyProtection="1">
      <alignment horizontal="right" vertical="center"/>
    </xf>
    <xf numFmtId="0" fontId="0" fillId="6" borderId="0" xfId="0" applyFill="1" applyProtection="1"/>
    <xf numFmtId="164" fontId="0" fillId="6" borderId="0" xfId="0" applyNumberFormat="1" applyFill="1" applyProtection="1"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9" borderId="0" xfId="0" applyFont="1" applyFill="1" applyAlignment="1" applyProtection="1">
      <alignment horizontal="center" vertical="center"/>
      <protection locked="0"/>
    </xf>
    <xf numFmtId="0" fontId="7" fillId="10" borderId="0" xfId="0" applyFont="1" applyFill="1" applyAlignment="1" applyProtection="1">
      <alignment horizontal="center" vertical="center"/>
      <protection locked="0"/>
    </xf>
    <xf numFmtId="0" fontId="7" fillId="11" borderId="0" xfId="0" applyFont="1" applyFill="1" applyAlignment="1" applyProtection="1">
      <alignment horizontal="center" vertical="center"/>
    </xf>
    <xf numFmtId="0" fontId="7" fillId="12" borderId="0" xfId="0" applyFont="1" applyFill="1" applyAlignment="1" applyProtection="1">
      <alignment horizontal="center" vertical="center"/>
      <protection locked="0"/>
    </xf>
    <xf numFmtId="0" fontId="8" fillId="13" borderId="3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9" fillId="14" borderId="5" xfId="0" applyFont="1" applyFill="1" applyBorder="1" applyAlignment="1" applyProtection="1">
      <alignment horizontal="center" vertical="center" wrapText="1"/>
    </xf>
    <xf numFmtId="0" fontId="10" fillId="15" borderId="6" xfId="0" applyFont="1" applyFill="1" applyBorder="1" applyAlignment="1" applyProtection="1">
      <alignment horizontal="center" vertical="center" wrapText="1"/>
    </xf>
    <xf numFmtId="0" fontId="11" fillId="16" borderId="7" xfId="0" applyFont="1" applyFill="1" applyBorder="1" applyAlignment="1" applyProtection="1">
      <alignment horizontal="center" vertical="center" wrapText="1"/>
    </xf>
    <xf numFmtId="0" fontId="12" fillId="17" borderId="8" xfId="0" applyFont="1" applyFill="1" applyBorder="1" applyAlignment="1" applyProtection="1">
      <alignment horizontal="center" vertical="center" wrapText="1"/>
    </xf>
    <xf numFmtId="0" fontId="13" fillId="14" borderId="9" xfId="0" applyFont="1" applyFill="1" applyBorder="1" applyAlignment="1" applyProtection="1">
      <alignment horizontal="center" vertical="center" wrapText="1"/>
    </xf>
    <xf numFmtId="4" fontId="12" fillId="14" borderId="0" xfId="0" applyNumberFormat="1" applyFont="1" applyFill="1" applyProtection="1"/>
    <xf numFmtId="0" fontId="0" fillId="14" borderId="0" xfId="0" applyFill="1" applyProtection="1"/>
    <xf numFmtId="0" fontId="14" fillId="0" borderId="0" xfId="0" applyFont="1"/>
    <xf numFmtId="0" fontId="15" fillId="0" borderId="0" xfId="0" applyFont="1" applyAlignment="1">
      <alignment horizontal="right"/>
    </xf>
    <xf numFmtId="0" fontId="6" fillId="6" borderId="0" xfId="0" applyFont="1" applyFill="1"/>
    <xf numFmtId="0" fontId="8" fillId="0" borderId="10" xfId="0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2" fillId="0" borderId="10" xfId="0" applyFont="1" applyBorder="1"/>
    <xf numFmtId="0" fontId="9" fillId="0" borderId="10" xfId="0" applyFont="1" applyBorder="1"/>
    <xf numFmtId="0" fontId="10" fillId="0" borderId="10" xfId="0" applyFont="1" applyBorder="1"/>
    <xf numFmtId="0" fontId="11" fillId="0" borderId="10" xfId="0" applyFont="1" applyBorder="1"/>
    <xf numFmtId="0" fontId="12" fillId="0" borderId="10" xfId="0" applyFont="1" applyBorder="1"/>
    <xf numFmtId="0" fontId="13" fillId="0" borderId="10" xfId="0" applyFont="1" applyBorder="1"/>
  </cellXfs>
  <cellStyles count="1">
    <cellStyle name="Normal" xfId="0" builtinId="0"/>
  </cellStyles>
  <dxfs count="2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04785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sheetData>
    <row r="1" spans="1:4" x14ac:dyDescent="0.25">
      <c r="A1" t="s">
        <v>20</v>
      </c>
      <c r="B1" t="s">
        <v>92</v>
      </c>
      <c r="C1" t="s">
        <v>333</v>
      </c>
      <c r="D1" t="s">
        <v>334</v>
      </c>
    </row>
    <row r="2" spans="1:4" x14ac:dyDescent="0.25">
      <c r="A2" t="s">
        <v>21</v>
      </c>
      <c r="B2" t="s">
        <v>104</v>
      </c>
      <c r="C2" t="s">
        <v>335</v>
      </c>
      <c r="D2" t="s">
        <v>52</v>
      </c>
    </row>
    <row r="3" spans="1:4" x14ac:dyDescent="0.25">
      <c r="A3" t="s">
        <v>336</v>
      </c>
      <c r="B3" t="s">
        <v>115</v>
      </c>
      <c r="C3" t="s">
        <v>337</v>
      </c>
      <c r="D3" t="s">
        <v>338</v>
      </c>
    </row>
    <row r="4" spans="1:4" x14ac:dyDescent="0.25">
      <c r="A4" t="s">
        <v>339</v>
      </c>
      <c r="B4" t="s">
        <v>125</v>
      </c>
      <c r="C4" t="s">
        <v>340</v>
      </c>
      <c r="D4" t="s">
        <v>341</v>
      </c>
    </row>
    <row r="5" spans="1:4" x14ac:dyDescent="0.25">
      <c r="A5" t="s">
        <v>342</v>
      </c>
      <c r="B5" t="s">
        <v>135</v>
      </c>
      <c r="C5" t="s">
        <v>24</v>
      </c>
      <c r="D5" t="s">
        <v>343</v>
      </c>
    </row>
    <row r="6" spans="1:4" x14ac:dyDescent="0.25">
      <c r="A6" t="s">
        <v>344</v>
      </c>
      <c r="B6" t="s">
        <v>154</v>
      </c>
      <c r="C6" t="s">
        <v>345</v>
      </c>
      <c r="D6" t="s">
        <v>346</v>
      </c>
    </row>
    <row r="7" spans="1:4" x14ac:dyDescent="0.25">
      <c r="A7" t="s">
        <v>347</v>
      </c>
      <c r="B7" t="s">
        <v>145</v>
      </c>
      <c r="C7" t="s">
        <v>348</v>
      </c>
    </row>
    <row r="8" spans="1:4" x14ac:dyDescent="0.25">
      <c r="A8" t="s">
        <v>349</v>
      </c>
      <c r="B8" t="s">
        <v>350</v>
      </c>
      <c r="C8" t="s">
        <v>351</v>
      </c>
    </row>
    <row r="9" spans="1:4" x14ac:dyDescent="0.25">
      <c r="A9" t="s">
        <v>352</v>
      </c>
      <c r="B9" t="s">
        <v>353</v>
      </c>
      <c r="C9" t="s">
        <v>354</v>
      </c>
    </row>
    <row r="10" spans="1:4" x14ac:dyDescent="0.25">
      <c r="B10" t="s">
        <v>162</v>
      </c>
      <c r="C10" t="s">
        <v>355</v>
      </c>
    </row>
    <row r="11" spans="1:4" x14ac:dyDescent="0.25">
      <c r="B11" t="s">
        <v>356</v>
      </c>
      <c r="C11" t="s">
        <v>357</v>
      </c>
    </row>
    <row r="12" spans="1:4" x14ac:dyDescent="0.25">
      <c r="B12" t="s">
        <v>170</v>
      </c>
      <c r="C12" t="s">
        <v>358</v>
      </c>
    </row>
    <row r="13" spans="1:4" x14ac:dyDescent="0.25">
      <c r="B13" t="s">
        <v>359</v>
      </c>
      <c r="C13" t="s">
        <v>360</v>
      </c>
    </row>
    <row r="14" spans="1:4" x14ac:dyDescent="0.25">
      <c r="B14" t="s">
        <v>361</v>
      </c>
      <c r="C14" t="s">
        <v>362</v>
      </c>
    </row>
    <row r="15" spans="1:4" x14ac:dyDescent="0.25">
      <c r="B15" t="s">
        <v>363</v>
      </c>
      <c r="C15" t="s">
        <v>364</v>
      </c>
    </row>
    <row r="16" spans="1:4" x14ac:dyDescent="0.25">
      <c r="B16" t="s">
        <v>365</v>
      </c>
      <c r="C16" t="s">
        <v>366</v>
      </c>
    </row>
    <row r="17" spans="1:4" x14ac:dyDescent="0.25">
      <c r="B17" t="s">
        <v>367</v>
      </c>
      <c r="C17" t="s">
        <v>368</v>
      </c>
    </row>
    <row r="18" spans="1:4" x14ac:dyDescent="0.25">
      <c r="B18" t="s">
        <v>369</v>
      </c>
    </row>
    <row r="19" spans="1:4" x14ac:dyDescent="0.25">
      <c r="B19" t="s">
        <v>370</v>
      </c>
    </row>
    <row r="20" spans="1:4" x14ac:dyDescent="0.25">
      <c r="B20" t="s">
        <v>371</v>
      </c>
    </row>
    <row r="21" spans="1:4" x14ac:dyDescent="0.25">
      <c r="B21" t="s">
        <v>372</v>
      </c>
    </row>
    <row r="22" spans="1:4" x14ac:dyDescent="0.25">
      <c r="B22" t="s">
        <v>373</v>
      </c>
    </row>
    <row r="23" spans="1:4" x14ac:dyDescent="0.25">
      <c r="B23" t="s">
        <v>374</v>
      </c>
    </row>
    <row r="24" spans="1:4" x14ac:dyDescent="0.25">
      <c r="B24" t="s">
        <v>375</v>
      </c>
    </row>
    <row r="25" spans="1:4" x14ac:dyDescent="0.25">
      <c r="B25" t="s">
        <v>376</v>
      </c>
    </row>
    <row r="26" spans="1:4" x14ac:dyDescent="0.25">
      <c r="B26" t="s">
        <v>377</v>
      </c>
    </row>
    <row r="27" spans="1:4" x14ac:dyDescent="0.25">
      <c r="B27" t="s">
        <v>378</v>
      </c>
    </row>
    <row r="28" spans="1:4" x14ac:dyDescent="0.25">
      <c r="B28" t="s">
        <v>379</v>
      </c>
    </row>
    <row r="29" spans="1:4" x14ac:dyDescent="0.25">
      <c r="B29" t="s">
        <v>380</v>
      </c>
    </row>
    <row r="30" spans="1:4" x14ac:dyDescent="0.25">
      <c r="B30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G21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66" customWidth="1"/>
    <col min="4" max="4" width="3" customWidth="1"/>
    <col min="5" max="7" width="14" customWidth="1"/>
  </cols>
  <sheetData>
    <row r="1" ht="30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7" x14ac:dyDescent="0.25">
      <c r="A3" s="3" t="s">
        <v>4</v>
      </c>
      <c r="B3" s="4" t="s">
        <v>5</v>
      </c>
      <c r="C3" s="5" t="s">
        <v>6</v>
      </c>
      <c r="E3" s="6" t="s">
        <v>7</v>
      </c>
      <c r="F3" s="6"/>
      <c r="G3" s="6"/>
    </row>
    <row r="4" spans="1:7" x14ac:dyDescent="0.25">
      <c r="A4" s="3" t="s">
        <v>8</v>
      </c>
      <c r="B4" s="7" t="s">
        <v>9</v>
      </c>
      <c r="C4" s="5" t="s">
        <v>10</v>
      </c>
      <c r="E4" s="6"/>
      <c r="F4" s="6"/>
      <c r="G4" s="6"/>
    </row>
    <row r="5" spans="1:7" x14ac:dyDescent="0.25">
      <c r="A5" s="3" t="s">
        <v>11</v>
      </c>
      <c r="B5" s="4" t="s">
        <v>12</v>
      </c>
      <c r="C5" s="5" t="s">
        <v>13</v>
      </c>
      <c r="E5" s="6"/>
      <c r="F5" s="6"/>
      <c r="G5" s="6"/>
    </row>
    <row r="6" spans="1:7" x14ac:dyDescent="0.25">
      <c r="A6" s="3" t="s">
        <v>14</v>
      </c>
      <c r="B6" s="4" t="s">
        <v>15</v>
      </c>
      <c r="C6" s="5" t="s">
        <v>16</v>
      </c>
      <c r="E6" s="6"/>
      <c r="F6" s="6"/>
      <c r="G6" s="6"/>
    </row>
    <row r="7" spans="1:7" x14ac:dyDescent="0.25">
      <c r="A7" s="3" t="s">
        <v>17</v>
      </c>
      <c r="B7" s="4" t="s">
        <v>18</v>
      </c>
      <c r="C7" s="5" t="s">
        <v>19</v>
      </c>
      <c r="E7" s="6"/>
      <c r="F7" s="6"/>
      <c r="G7" s="6"/>
    </row>
    <row r="8" spans="1:7" x14ac:dyDescent="0.25">
      <c r="A8" s="3" t="s">
        <v>20</v>
      </c>
      <c r="B8" s="4" t="s">
        <v>21</v>
      </c>
      <c r="C8" s="5" t="s">
        <v>22</v>
      </c>
      <c r="E8" s="6"/>
      <c r="F8" s="6"/>
      <c r="G8" s="6"/>
    </row>
    <row r="9" spans="1:7" x14ac:dyDescent="0.25">
      <c r="A9" s="3" t="s">
        <v>23</v>
      </c>
      <c r="B9" s="4" t="s">
        <v>24</v>
      </c>
      <c r="C9" s="5" t="s">
        <v>25</v>
      </c>
      <c r="E9" s="6"/>
      <c r="F9" s="6"/>
      <c r="G9" s="6"/>
    </row>
    <row r="10" spans="1:3" x14ac:dyDescent="0.25">
      <c r="A10" s="3" t="s">
        <v>26</v>
      </c>
      <c r="B10" s="8">
        <v>46296</v>
      </c>
      <c r="C10" s="5" t="s">
        <v>27</v>
      </c>
    </row>
    <row r="11" spans="1:7" x14ac:dyDescent="0.25">
      <c r="A11" s="3" t="s">
        <v>28</v>
      </c>
      <c r="B11" s="8">
        <v>46326</v>
      </c>
      <c r="C11" s="5" t="s">
        <v>29</v>
      </c>
      <c r="E11" s="6" t="s">
        <v>30</v>
      </c>
      <c r="F11" s="6"/>
      <c r="G11" s="6"/>
    </row>
    <row r="12" spans="1:7" x14ac:dyDescent="0.25">
      <c r="A12" s="3" t="s">
        <v>31</v>
      </c>
      <c r="B12" s="8">
        <v>46331</v>
      </c>
      <c r="C12" s="5" t="s">
        <v>32</v>
      </c>
      <c r="E12" s="6"/>
      <c r="F12" s="6"/>
      <c r="G12" s="6"/>
    </row>
    <row r="13" spans="1:7" x14ac:dyDescent="0.25">
      <c r="A13" s="3" t="s">
        <v>33</v>
      </c>
      <c r="B13" s="4" t="s">
        <v>34</v>
      </c>
      <c r="C13" s="5" t="s">
        <v>35</v>
      </c>
      <c r="E13" s="6"/>
      <c r="F13" s="6"/>
      <c r="G13" s="6"/>
    </row>
    <row r="14" spans="1:7" x14ac:dyDescent="0.25">
      <c r="A14" s="3" t="s">
        <v>36</v>
      </c>
      <c r="B14" s="4" t="s">
        <v>37</v>
      </c>
      <c r="C14" s="5" t="s">
        <v>38</v>
      </c>
      <c r="E14" s="6"/>
      <c r="F14" s="6"/>
      <c r="G14" s="6"/>
    </row>
    <row r="15" spans="1:7" x14ac:dyDescent="0.25">
      <c r="A15" s="3" t="s">
        <v>39</v>
      </c>
      <c r="B15" s="7" t="s">
        <v>40</v>
      </c>
      <c r="C15" s="5" t="s">
        <v>41</v>
      </c>
      <c r="E15" s="6"/>
      <c r="F15" s="6"/>
      <c r="G15" s="6"/>
    </row>
    <row r="16" spans="1:7" x14ac:dyDescent="0.25">
      <c r="A16" s="3" t="s">
        <v>42</v>
      </c>
      <c r="B16" s="4" t="s">
        <v>43</v>
      </c>
      <c r="C16" s="5" t="s">
        <v>44</v>
      </c>
      <c r="E16" s="6"/>
      <c r="F16" s="6"/>
      <c r="G16" s="6"/>
    </row>
    <row r="17" spans="1:3" x14ac:dyDescent="0.25">
      <c r="A17" s="3" t="s">
        <v>45</v>
      </c>
      <c r="B17" s="4" t="s">
        <v>46</v>
      </c>
      <c r="C17" s="5" t="s">
        <v>47</v>
      </c>
    </row>
    <row r="18" ht="96" customHeight="1" spans="1:3" x14ac:dyDescent="0.25">
      <c r="A18" s="3" t="s">
        <v>48</v>
      </c>
      <c r="B18" s="9" t="s">
        <v>49</v>
      </c>
      <c r="C18" s="5" t="s">
        <v>50</v>
      </c>
    </row>
    <row r="19" spans="1:3" x14ac:dyDescent="0.25">
      <c r="A19" s="3" t="s">
        <v>51</v>
      </c>
      <c r="B19" s="4" t="s">
        <v>52</v>
      </c>
      <c r="C19" s="5" t="s">
        <v>53</v>
      </c>
    </row>
    <row r="20" spans="1:3" x14ac:dyDescent="0.25">
      <c r="A20" s="3" t="s">
        <v>54</v>
      </c>
      <c r="B20" s="10" t="s">
        <v>55</v>
      </c>
      <c r="C20" s="5" t="s">
        <v>56</v>
      </c>
    </row>
    <row r="21" spans="1:3" x14ac:dyDescent="0.25">
      <c r="A21" s="3" t="s">
        <v>57</v>
      </c>
      <c r="B21" s="10" t="s">
        <v>55</v>
      </c>
      <c r="C21" s="5" t="s">
        <v>58</v>
      </c>
    </row>
  </sheetData>
  <sheetProtection sheet="1" formatColumns="0" formatRows="0"/>
  <mergeCells count="3">
    <mergeCell ref="A1:C1"/>
    <mergeCell ref="E3:G9"/>
    <mergeCell ref="E11:G16"/>
  </mergeCells>
  <dataValidations count="7">
    <dataValidation type="date" operator="greaterThan" allowBlank="1" showInputMessage="1" promptTitle="Date" prompt="Enter a date, e.g. 01-Oct-2026." showErrorMessage="1" errorStyle="stop" errorTitle="Date" error="Enter a date, e.g. 01-Oct-2026." sqref="B10:B12">
      <formula1>36526</formula1>
    </dataValidation>
    <dataValidation type="custom" allowBlank="1" showErrorMessage="1" errorStyle="warning" errorTitle="Email" error="This does not look like an email address." sqref="B16">
      <formula1>ISNUMBER(FIND("@",B16))</formula1>
    </dataValidation>
    <dataValidation type="list" allowBlank="1" showInputMessage="1" promptTitle="PDF password" prompt="id = Iqama number (default). none = no password." showErrorMessage="1" errorStyle="stop" errorTitle="Password rule" error="Pick a rule from the list." sqref="B19">
      <formula1>Lists!$D$2:$D$6</formula1>
    </dataValidation>
    <dataValidation type="textLength" operator="greaterThanOrEqual" showInputMessage="1" promptTitle="Company name" prompt="Legal name as on the CR." showErrorMessage="1" errorStyle="stop" errorTitle="Company name" error="Enter the company name." sqref="B3">
      <formula1>2</formula1>
    </dataValidation>
    <dataValidation type="custom" allowBlank="1" showInputMessage="1" promptTitle="CR number" prompt="10-digit Commercial Registration number." showErrorMessage="1" errorStyle="warning" errorTitle="CR number" error="A CR number has 10 digits. Keep it anyway?" sqref="B4">
      <formula1>AND(LEN(B4)=10,ISNUMBER(--B4))</formula1>
    </dataValidation>
    <dataValidation type="list" allowBlank="1" showInputMessage="1" promptTitle="Currency" prompt="Pick from the list. SAR for Saudi Arabia." showErrorMessage="1" errorStyle="stop" errorTitle="Currency" error="Pick a currency from the list." sqref="B8">
      <formula1>Lists!$A$2:$A$9</formula1>
    </dataValidation>
    <dataValidation type="list" showInputMessage="1" promptTitle="Pay period" prompt="The month printed on every payslip, e.g. October 2026." showErrorMessage="1" errorStyle="warning" errorTitle="Pay period" error="Not in the list. Keep it anyway?" sqref="B9">
      <formula1>Lists!$C$2:$C$17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AB1003"/>
  <sheetViews>
    <sheetView workbookViewId="0" zoomScale="100">
      <pane xSplit="2" ySplit="3" topLeftCell="C4" activePane="bottomRight" state="frozen"/>
      <selection pane="bottomRight"/>
    </sheetView>
  </sheetViews>
  <sheetFormatPr defaultRowHeight="15" outlineLevelRow="0" outlineLevelCol="1" x14ac:dyDescent="55"/>
  <cols>
    <col min="1" max="1" width="13" style="11" customWidth="1"/>
    <col min="2" max="2" width="28" style="12" customWidth="1"/>
    <col min="3" max="3" width="15" style="11" customWidth="1"/>
    <col min="4" max="4" width="20" style="12" customWidth="1"/>
    <col min="5" max="5" width="16" style="12" customWidth="1"/>
    <col min="6" max="6" width="14" style="13" customWidth="1"/>
    <col min="7" max="7" width="28" style="12" customWidth="1"/>
    <col min="8" max="8" width="14" style="11" customWidth="1"/>
    <col min="9" max="10" width="10" style="14" customWidth="1"/>
    <col min="11" max="11" width="11" style="14" customWidth="1"/>
    <col min="12" max="21" width="13" style="15" customWidth="1"/>
    <col min="22" max="22" width="15" style="16" customWidth="1"/>
    <col min="23" max="23" width="26" style="17" customWidth="1"/>
    <col min="24" max="24" width="14" style="12" outlineLevel="1" collapsed="1" customWidth="1"/>
    <col min="25" max="25" width="14" style="13" outlineLevel="1" collapsed="1" customWidth="1"/>
    <col min="26" max="26" width="18" style="12" outlineLevel="1" collapsed="1" customWidth="1"/>
    <col min="27" max="27" width="28" style="11" outlineLevel="1" collapsed="1" customWidth="1"/>
    <col min="28" max="28" width="30" style="12" outlineLevel="1" collapsed="1" customWidth="1"/>
  </cols>
  <sheetData>
    <row r="1" ht="30" customHeight="1" spans="1:28" x14ac:dyDescent="0.25">
      <c r="A1" s="18" t="s">
        <v>59</v>
      </c>
      <c r="B1" s="18"/>
      <c r="C1" s="18"/>
      <c r="D1" s="18"/>
      <c r="E1" s="18"/>
      <c r="F1" s="18"/>
      <c r="G1" s="19"/>
      <c r="H1" s="20"/>
      <c r="I1" s="21"/>
      <c r="J1" s="21"/>
      <c r="K1" s="21"/>
      <c r="L1" s="22" t="s">
        <v>60</v>
      </c>
      <c r="M1" s="23">
        <f>COUNTA(B4:B1003)-COUNTIF(B4:B1003,"Example*")</f>
        <v>25</v>
      </c>
      <c r="N1" s="24"/>
      <c r="O1" s="24"/>
      <c r="P1" s="24"/>
      <c r="Q1" s="24"/>
      <c r="R1" s="24"/>
      <c r="S1" s="24"/>
      <c r="T1" s="24"/>
      <c r="U1" s="22" t="s">
        <v>61</v>
      </c>
      <c r="V1" s="25">
        <f>SUM(V4:V1003)</f>
        <v>240950.07</v>
      </c>
      <c r="W1" s="26"/>
      <c r="X1" s="19"/>
      <c r="Y1" s="27"/>
      <c r="Z1" s="19"/>
      <c r="AA1" s="20"/>
      <c r="AB1" s="19"/>
    </row>
    <row r="2" ht="18" customHeight="1" spans="1:28" x14ac:dyDescent="0.25">
      <c r="A2" s="28" t="s">
        <v>62</v>
      </c>
      <c r="B2" s="28"/>
      <c r="C2" s="28"/>
      <c r="D2" s="28"/>
      <c r="E2" s="28"/>
      <c r="F2" s="28"/>
      <c r="G2" s="29" t="s">
        <v>63</v>
      </c>
      <c r="H2" s="29"/>
      <c r="I2" s="30" t="s">
        <v>64</v>
      </c>
      <c r="J2" s="30"/>
      <c r="K2" s="30"/>
      <c r="L2" s="31" t="s">
        <v>65</v>
      </c>
      <c r="M2" s="31"/>
      <c r="N2" s="31"/>
      <c r="O2" s="31"/>
      <c r="P2" s="31"/>
      <c r="Q2" s="31"/>
      <c r="R2" s="32" t="s">
        <v>66</v>
      </c>
      <c r="S2" s="32"/>
      <c r="T2" s="32"/>
      <c r="U2" s="32"/>
      <c r="V2" s="33" t="s">
        <v>67</v>
      </c>
      <c r="W2" s="33"/>
      <c r="X2" s="34" t="s">
        <v>68</v>
      </c>
      <c r="Y2" s="34"/>
      <c r="Z2" s="34"/>
      <c r="AA2" s="34"/>
      <c r="AB2" s="34"/>
    </row>
    <row r="3" ht="34" customHeight="1" spans="1:28" x14ac:dyDescent="0.25">
      <c r="A3" s="35" t="s">
        <v>69</v>
      </c>
      <c r="B3" s="35" t="s">
        <v>70</v>
      </c>
      <c r="C3" s="35" t="s">
        <v>71</v>
      </c>
      <c r="D3" s="35" t="s">
        <v>72</v>
      </c>
      <c r="E3" s="35" t="s">
        <v>73</v>
      </c>
      <c r="F3" s="35" t="s">
        <v>74</v>
      </c>
      <c r="G3" s="36" t="s">
        <v>75</v>
      </c>
      <c r="H3" s="36" t="s">
        <v>76</v>
      </c>
      <c r="I3" s="37" t="s">
        <v>77</v>
      </c>
      <c r="J3" s="37" t="s">
        <v>78</v>
      </c>
      <c r="K3" s="37" t="s">
        <v>79</v>
      </c>
      <c r="L3" s="38" t="s">
        <v>80</v>
      </c>
      <c r="M3" s="38" t="s">
        <v>81</v>
      </c>
      <c r="N3" s="38" t="s">
        <v>82</v>
      </c>
      <c r="O3" s="38" t="s">
        <v>83</v>
      </c>
      <c r="P3" s="38" t="s">
        <v>84</v>
      </c>
      <c r="Q3" s="38" t="s">
        <v>85</v>
      </c>
      <c r="R3" s="39" t="s">
        <v>86</v>
      </c>
      <c r="S3" s="39" t="s">
        <v>87</v>
      </c>
      <c r="T3" s="39" t="s">
        <v>88</v>
      </c>
      <c r="U3" s="39" t="s">
        <v>89</v>
      </c>
      <c r="V3" s="40" t="s">
        <v>90</v>
      </c>
      <c r="W3" s="40" t="s">
        <v>91</v>
      </c>
      <c r="X3" s="41" t="s">
        <v>92</v>
      </c>
      <c r="Y3" s="41" t="s">
        <v>93</v>
      </c>
      <c r="Z3" s="41" t="s">
        <v>94</v>
      </c>
      <c r="AA3" s="41" t="s">
        <v>95</v>
      </c>
      <c r="AB3" s="41" t="s">
        <v>96</v>
      </c>
    </row>
    <row r="4" spans="1:28" x14ac:dyDescent="0.25">
      <c r="A4" s="11" t="s">
        <v>97</v>
      </c>
      <c r="B4" s="12" t="s">
        <v>98</v>
      </c>
      <c r="C4" s="11" t="s">
        <v>99</v>
      </c>
      <c r="D4" s="12" t="s">
        <v>100</v>
      </c>
      <c r="E4" s="12" t="s">
        <v>101</v>
      </c>
      <c r="F4" s="13">
        <v>44562</v>
      </c>
      <c r="G4" s="12" t="s">
        <v>102</v>
      </c>
      <c r="H4" s="11" t="s">
        <v>103</v>
      </c>
      <c r="I4" s="14">
        <v>28</v>
      </c>
      <c r="J4" s="14">
        <v>2</v>
      </c>
      <c r="K4" s="14">
        <v>0</v>
      </c>
      <c r="L4" s="15">
        <v>3000</v>
      </c>
      <c r="M4" s="15">
        <v>750</v>
      </c>
      <c r="N4" s="15">
        <v>300</v>
      </c>
      <c r="O4" s="15">
        <v>300</v>
      </c>
      <c r="P4" s="15">
        <v>0</v>
      </c>
      <c r="Q4" s="15">
        <v>0</v>
      </c>
      <c r="R4" s="15">
        <v>365.63</v>
      </c>
      <c r="S4" s="15">
        <v>270</v>
      </c>
      <c r="T4" s="15">
        <v>500</v>
      </c>
      <c r="U4" s="15">
        <v>0</v>
      </c>
      <c r="V4" s="42">
        <f>IF($B4="","",SUM(L4:Q4)-SUM(R4:U4))</f>
        <v>3214.37</v>
      </c>
      <c r="W4" s="43" t="str">
        <f>IF($B4="","",IF(L4="","⚠ Basic salary missing",IF(SUM(R4:U4)&gt;SUM(L4:Q4),"⚠ Deductions exceed earnings",IF(COUNTIF($A$4:$A$1003,$A4)&gt;1,"⚠ Duplicate ID","✓"))))</f>
        <v>✓</v>
      </c>
      <c r="X4" s="12" t="s">
        <v>104</v>
      </c>
      <c r="Y4" s="13">
        <v>27395</v>
      </c>
      <c r="Z4" s="12" t="s">
        <v>105</v>
      </c>
      <c r="AA4" s="11" t="s">
        <v>106</v>
      </c>
      <c r="AB4" s="12" t="s">
        <v>107</v>
      </c>
    </row>
    <row r="5" spans="1:27" x14ac:dyDescent="0.25">
      <c r="A5" s="11" t="s">
        <v>108</v>
      </c>
      <c r="B5" s="12" t="s">
        <v>109</v>
      </c>
      <c r="C5" s="11" t="s">
        <v>110</v>
      </c>
      <c r="D5" s="12" t="s">
        <v>111</v>
      </c>
      <c r="E5" s="12" t="s">
        <v>112</v>
      </c>
      <c r="F5" s="13">
        <v>44959</v>
      </c>
      <c r="G5" s="12" t="s">
        <v>113</v>
      </c>
      <c r="H5" s="11" t="s">
        <v>114</v>
      </c>
      <c r="I5" s="14">
        <v>30</v>
      </c>
      <c r="J5" s="14">
        <v>0</v>
      </c>
      <c r="K5" s="14">
        <v>7</v>
      </c>
      <c r="L5" s="15">
        <v>3937</v>
      </c>
      <c r="M5" s="15">
        <v>984</v>
      </c>
      <c r="N5" s="15">
        <v>350</v>
      </c>
      <c r="O5" s="15">
        <v>0</v>
      </c>
      <c r="P5" s="15">
        <v>172.24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42">
        <f>IF($B5="","",SUM(L5:Q5)-SUM(R5:U5))</f>
        <v>5443.24</v>
      </c>
      <c r="W5" s="43" t="str">
        <f>IF($B5="","",IF(L5="","⚠ Basic salary missing",IF(SUM(R5:U5)&gt;SUM(L5:Q5),"⚠ Deductions exceed earnings",IF(COUNTIF($A$4:$A$1003,$A5)&gt;1,"⚠ Duplicate ID","✓"))))</f>
        <v>✓</v>
      </c>
      <c r="X5" s="12" t="s">
        <v>115</v>
      </c>
      <c r="Y5" s="13">
        <v>27915</v>
      </c>
      <c r="Z5" s="12" t="s">
        <v>116</v>
      </c>
      <c r="AA5" s="11" t="s">
        <v>117</v>
      </c>
    </row>
    <row r="6" spans="1:27" x14ac:dyDescent="0.25">
      <c r="A6" s="11" t="s">
        <v>118</v>
      </c>
      <c r="B6" s="12" t="s">
        <v>119</v>
      </c>
      <c r="C6" s="11" t="s">
        <v>120</v>
      </c>
      <c r="D6" s="12" t="s">
        <v>121</v>
      </c>
      <c r="E6" s="12" t="s">
        <v>122</v>
      </c>
      <c r="F6" s="13">
        <v>45354</v>
      </c>
      <c r="G6" s="12" t="s">
        <v>123</v>
      </c>
      <c r="H6" s="11" t="s">
        <v>124</v>
      </c>
      <c r="I6" s="14">
        <v>30</v>
      </c>
      <c r="J6" s="14">
        <v>0</v>
      </c>
      <c r="K6" s="14">
        <v>14</v>
      </c>
      <c r="L6" s="15">
        <v>4874</v>
      </c>
      <c r="M6" s="15">
        <v>1219</v>
      </c>
      <c r="N6" s="15">
        <v>400</v>
      </c>
      <c r="O6" s="15">
        <v>0</v>
      </c>
      <c r="P6" s="15">
        <v>426.48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42">
        <f>IF($B6="","",SUM(L6:Q6)-SUM(R6:U6))</f>
        <v>6919.48</v>
      </c>
      <c r="W6" s="43" t="str">
        <f>IF($B6="","",IF(L6="","⚠ Basic salary missing",IF(SUM(R6:U6)&gt;SUM(L6:Q6),"⚠ Deductions exceed earnings",IF(COUNTIF($A$4:$A$1003,$A6)&gt;1,"⚠ Duplicate ID","✓"))))</f>
        <v>✓</v>
      </c>
      <c r="X6" s="12" t="s">
        <v>125</v>
      </c>
      <c r="Y6" s="13">
        <v>28436</v>
      </c>
      <c r="Z6" s="12" t="s">
        <v>126</v>
      </c>
      <c r="AA6" s="11" t="s">
        <v>127</v>
      </c>
    </row>
    <row r="7" spans="1:27" x14ac:dyDescent="0.25">
      <c r="A7" s="11" t="s">
        <v>128</v>
      </c>
      <c r="B7" s="12" t="s">
        <v>129</v>
      </c>
      <c r="C7" s="11" t="s">
        <v>130</v>
      </c>
      <c r="D7" s="12" t="s">
        <v>131</v>
      </c>
      <c r="E7" s="12" t="s">
        <v>132</v>
      </c>
      <c r="F7" s="13">
        <v>45751</v>
      </c>
      <c r="G7" s="12" t="s">
        <v>133</v>
      </c>
      <c r="H7" s="11" t="s">
        <v>134</v>
      </c>
      <c r="I7" s="14">
        <v>30</v>
      </c>
      <c r="J7" s="14">
        <v>0</v>
      </c>
      <c r="K7" s="14">
        <v>21</v>
      </c>
      <c r="L7" s="15">
        <v>5811</v>
      </c>
      <c r="M7" s="15">
        <v>1453</v>
      </c>
      <c r="N7" s="15">
        <v>450</v>
      </c>
      <c r="O7" s="15">
        <v>300</v>
      </c>
      <c r="P7" s="15">
        <v>762.69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42">
        <f>IF($B7="","",SUM(L7:Q7)-SUM(R7:U7))</f>
        <v>8776.69</v>
      </c>
      <c r="W7" s="43" t="str">
        <f>IF($B7="","",IF(L7="","⚠ Basic salary missing",IF(SUM(R7:U7)&gt;SUM(L7:Q7),"⚠ Deductions exceed earnings",IF(COUNTIF($A$4:$A$1003,$A7)&gt;1,"⚠ Duplicate ID","✓"))))</f>
        <v>✓</v>
      </c>
      <c r="X7" s="12" t="s">
        <v>135</v>
      </c>
      <c r="Y7" s="13">
        <v>28590</v>
      </c>
      <c r="Z7" s="12" t="s">
        <v>136</v>
      </c>
      <c r="AA7" s="11" t="s">
        <v>137</v>
      </c>
    </row>
    <row r="8" spans="1:27" x14ac:dyDescent="0.25">
      <c r="A8" s="11" t="s">
        <v>138</v>
      </c>
      <c r="B8" s="12" t="s">
        <v>139</v>
      </c>
      <c r="C8" s="11" t="s">
        <v>140</v>
      </c>
      <c r="D8" s="12" t="s">
        <v>141</v>
      </c>
      <c r="E8" s="12" t="s">
        <v>142</v>
      </c>
      <c r="F8" s="13">
        <v>44686</v>
      </c>
      <c r="G8" s="12" t="s">
        <v>143</v>
      </c>
      <c r="H8" s="11" t="s">
        <v>144</v>
      </c>
      <c r="I8" s="14">
        <v>30</v>
      </c>
      <c r="J8" s="14">
        <v>0</v>
      </c>
      <c r="K8" s="14">
        <v>3</v>
      </c>
      <c r="L8" s="15">
        <v>6748</v>
      </c>
      <c r="M8" s="15">
        <v>1687</v>
      </c>
      <c r="N8" s="15">
        <v>500</v>
      </c>
      <c r="O8" s="15">
        <v>0</v>
      </c>
      <c r="P8" s="15">
        <v>126.53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42">
        <f>IF($B8="","",SUM(L8:Q8)-SUM(R8:U8))</f>
        <v>9061.53</v>
      </c>
      <c r="W8" s="43" t="str">
        <f>IF($B8="","",IF(L8="","⚠ Basic salary missing",IF(SUM(R8:U8)&gt;SUM(L8:Q8),"⚠ Deductions exceed earnings",IF(COUNTIF($A$4:$A$1003,$A8)&gt;1,"⚠ Duplicate ID","✓"))))</f>
        <v>✓</v>
      </c>
      <c r="X8" s="12" t="s">
        <v>145</v>
      </c>
      <c r="Y8" s="13">
        <v>29111</v>
      </c>
      <c r="Z8" s="12" t="s">
        <v>146</v>
      </c>
      <c r="AA8" s="11" t="s">
        <v>147</v>
      </c>
    </row>
    <row r="9" spans="1:27" x14ac:dyDescent="0.25">
      <c r="A9" s="11" t="s">
        <v>148</v>
      </c>
      <c r="B9" s="12" t="s">
        <v>149</v>
      </c>
      <c r="C9" s="11" t="s">
        <v>150</v>
      </c>
      <c r="D9" s="12" t="s">
        <v>151</v>
      </c>
      <c r="E9" s="12" t="s">
        <v>101</v>
      </c>
      <c r="F9" s="13">
        <v>45083</v>
      </c>
      <c r="G9" s="12" t="s">
        <v>152</v>
      </c>
      <c r="H9" s="11" t="s">
        <v>153</v>
      </c>
      <c r="I9" s="14">
        <v>30</v>
      </c>
      <c r="J9" s="14">
        <v>0</v>
      </c>
      <c r="K9" s="14">
        <v>10</v>
      </c>
      <c r="L9" s="15">
        <v>7685</v>
      </c>
      <c r="M9" s="15">
        <v>1921</v>
      </c>
      <c r="N9" s="15">
        <v>550</v>
      </c>
      <c r="O9" s="15">
        <v>0</v>
      </c>
      <c r="P9" s="15">
        <v>480.31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42">
        <f>IF($B9="","",SUM(L9:Q9)-SUM(R9:U9))</f>
        <v>10636.31</v>
      </c>
      <c r="W9" s="43" t="str">
        <f>IF($B9="","",IF(L9="","⚠ Basic salary missing",IF(SUM(R9:U9)&gt;SUM(L9:Q9),"⚠ Deductions exceed earnings",IF(COUNTIF($A$4:$A$1003,$A9)&gt;1,"⚠ Duplicate ID","✓"))))</f>
        <v>✓</v>
      </c>
      <c r="X9" s="12" t="s">
        <v>154</v>
      </c>
      <c r="Y9" s="13">
        <v>29267</v>
      </c>
      <c r="Z9" s="12" t="s">
        <v>105</v>
      </c>
      <c r="AA9" s="11" t="s">
        <v>155</v>
      </c>
    </row>
    <row r="10" spans="1:27" x14ac:dyDescent="0.25">
      <c r="A10" s="11" t="s">
        <v>156</v>
      </c>
      <c r="B10" s="12" t="s">
        <v>157</v>
      </c>
      <c r="C10" s="11" t="s">
        <v>158</v>
      </c>
      <c r="D10" s="12" t="s">
        <v>159</v>
      </c>
      <c r="E10" s="12" t="s">
        <v>112</v>
      </c>
      <c r="F10" s="13">
        <v>45480</v>
      </c>
      <c r="G10" s="12" t="s">
        <v>160</v>
      </c>
      <c r="H10" s="11" t="s">
        <v>161</v>
      </c>
      <c r="I10" s="14">
        <v>30</v>
      </c>
      <c r="J10" s="14">
        <v>0</v>
      </c>
      <c r="K10" s="14">
        <v>17</v>
      </c>
      <c r="L10" s="15">
        <v>8622</v>
      </c>
      <c r="M10" s="15">
        <v>2156</v>
      </c>
      <c r="N10" s="15">
        <v>600</v>
      </c>
      <c r="O10" s="15">
        <v>300</v>
      </c>
      <c r="P10" s="15">
        <v>916.09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42">
        <f>IF($B10="","",SUM(L10:Q10)-SUM(R10:U10))</f>
        <v>12594.09</v>
      </c>
      <c r="W10" s="43" t="str">
        <f>IF($B10="","",IF(L10="","⚠ Basic salary missing",IF(SUM(R10:U10)&gt;SUM(L10:Q10),"⚠ Deductions exceed earnings",IF(COUNTIF($A$4:$A$1003,$A10)&gt;1,"⚠ Duplicate ID","✓"))))</f>
        <v>✓</v>
      </c>
      <c r="X10" s="12" t="s">
        <v>162</v>
      </c>
      <c r="Y10" s="13">
        <v>29786</v>
      </c>
      <c r="Z10" s="12" t="s">
        <v>116</v>
      </c>
      <c r="AA10" s="11" t="s">
        <v>163</v>
      </c>
    </row>
    <row r="11" spans="1:27" x14ac:dyDescent="0.25">
      <c r="A11" s="11" t="s">
        <v>164</v>
      </c>
      <c r="B11" s="12" t="s">
        <v>165</v>
      </c>
      <c r="C11" s="11" t="s">
        <v>166</v>
      </c>
      <c r="D11" s="12" t="s">
        <v>167</v>
      </c>
      <c r="E11" s="12" t="s">
        <v>122</v>
      </c>
      <c r="F11" s="13">
        <v>45877</v>
      </c>
      <c r="G11" s="12" t="s">
        <v>168</v>
      </c>
      <c r="H11" s="11" t="s">
        <v>169</v>
      </c>
      <c r="I11" s="14">
        <v>30</v>
      </c>
      <c r="J11" s="14">
        <v>0</v>
      </c>
      <c r="K11" s="14">
        <v>24</v>
      </c>
      <c r="L11" s="15">
        <v>9559</v>
      </c>
      <c r="M11" s="15">
        <v>2390</v>
      </c>
      <c r="N11" s="15">
        <v>650</v>
      </c>
      <c r="O11" s="15">
        <v>0</v>
      </c>
      <c r="P11" s="15">
        <v>1433.85</v>
      </c>
      <c r="Q11" s="15">
        <v>0</v>
      </c>
      <c r="R11" s="15">
        <v>0</v>
      </c>
      <c r="S11" s="15">
        <v>0</v>
      </c>
      <c r="T11" s="15">
        <v>500</v>
      </c>
      <c r="U11" s="15">
        <v>0</v>
      </c>
      <c r="V11" s="42">
        <f>IF($B11="","",SUM(L11:Q11)-SUM(R11:U11))</f>
        <v>13532.85</v>
      </c>
      <c r="W11" s="43" t="str">
        <f>IF($B11="","",IF(L11="","⚠ Basic salary missing",IF(SUM(R11:U11)&gt;SUM(L11:Q11),"⚠ Deductions exceed earnings",IF(COUNTIF($A$4:$A$1003,$A11)&gt;1,"⚠ Duplicate ID","✓"))))</f>
        <v>✓</v>
      </c>
      <c r="X11" s="12" t="s">
        <v>170</v>
      </c>
      <c r="Y11" s="13">
        <v>30307</v>
      </c>
      <c r="Z11" s="12" t="s">
        <v>126</v>
      </c>
      <c r="AA11" s="11" t="s">
        <v>171</v>
      </c>
    </row>
    <row r="12" spans="1:27" x14ac:dyDescent="0.25">
      <c r="A12" s="11" t="s">
        <v>172</v>
      </c>
      <c r="B12" s="12" t="s">
        <v>173</v>
      </c>
      <c r="C12" s="11" t="s">
        <v>174</v>
      </c>
      <c r="D12" s="12" t="s">
        <v>175</v>
      </c>
      <c r="E12" s="12" t="s">
        <v>132</v>
      </c>
      <c r="F12" s="13">
        <v>44813</v>
      </c>
      <c r="G12" s="12" t="s">
        <v>176</v>
      </c>
      <c r="H12" s="11" t="s">
        <v>177</v>
      </c>
      <c r="I12" s="14">
        <v>30</v>
      </c>
      <c r="J12" s="14">
        <v>0</v>
      </c>
      <c r="K12" s="14">
        <v>6</v>
      </c>
      <c r="L12" s="15">
        <v>10496</v>
      </c>
      <c r="M12" s="15">
        <v>2624</v>
      </c>
      <c r="N12" s="15">
        <v>300</v>
      </c>
      <c r="O12" s="15">
        <v>0</v>
      </c>
      <c r="P12" s="15">
        <v>393.6</v>
      </c>
      <c r="Q12" s="15">
        <v>0</v>
      </c>
      <c r="R12" s="15">
        <v>1279.2</v>
      </c>
      <c r="S12" s="15">
        <v>0</v>
      </c>
      <c r="T12" s="15">
        <v>0</v>
      </c>
      <c r="U12" s="15">
        <v>0</v>
      </c>
      <c r="V12" s="42">
        <f>IF($B12="","",SUM(L12:Q12)-SUM(R12:U12))</f>
        <v>12534.4</v>
      </c>
      <c r="W12" s="43" t="str">
        <f>IF($B12="","",IF(L12="","⚠ Basic salary missing",IF(SUM(R12:U12)&gt;SUM(L12:Q12),"⚠ Deductions exceed earnings",IF(COUNTIF($A$4:$A$1003,$A12)&gt;1,"⚠ Duplicate ID","✓"))))</f>
        <v>✓</v>
      </c>
      <c r="X12" s="12" t="s">
        <v>104</v>
      </c>
      <c r="Y12" s="13">
        <v>30461</v>
      </c>
      <c r="Z12" s="12" t="s">
        <v>136</v>
      </c>
      <c r="AA12" s="11" t="s">
        <v>178</v>
      </c>
    </row>
    <row r="13" spans="1:28" x14ac:dyDescent="0.25">
      <c r="A13" s="11" t="s">
        <v>179</v>
      </c>
      <c r="B13" s="12" t="s">
        <v>180</v>
      </c>
      <c r="C13" s="11" t="s">
        <v>181</v>
      </c>
      <c r="D13" s="12" t="s">
        <v>182</v>
      </c>
      <c r="E13" s="12" t="s">
        <v>142</v>
      </c>
      <c r="F13" s="13">
        <v>45209</v>
      </c>
      <c r="G13" s="12" t="s">
        <v>183</v>
      </c>
      <c r="H13" s="11" t="s">
        <v>184</v>
      </c>
      <c r="I13" s="14">
        <v>30</v>
      </c>
      <c r="J13" s="14">
        <v>0</v>
      </c>
      <c r="K13" s="14">
        <v>13</v>
      </c>
      <c r="L13" s="15">
        <v>11433</v>
      </c>
      <c r="M13" s="15">
        <v>2858</v>
      </c>
      <c r="N13" s="15">
        <v>350</v>
      </c>
      <c r="O13" s="15">
        <v>300</v>
      </c>
      <c r="P13" s="15">
        <v>928.93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42">
        <f>IF($B13="","",SUM(L13:Q13)-SUM(R13:U13))</f>
        <v>15869.93</v>
      </c>
      <c r="W13" s="43" t="str">
        <f>IF($B13="","",IF(L13="","⚠ Basic salary missing",IF(SUM(R13:U13)&gt;SUM(L13:Q13),"⚠ Deductions exceed earnings",IF(COUNTIF($A$4:$A$1003,$A13)&gt;1,"⚠ Duplicate ID","✓"))))</f>
        <v>✓</v>
      </c>
      <c r="X13" s="12" t="s">
        <v>115</v>
      </c>
      <c r="Y13" s="13">
        <v>30983</v>
      </c>
      <c r="Z13" s="12" t="s">
        <v>146</v>
      </c>
      <c r="AA13" s="11" t="s">
        <v>185</v>
      </c>
      <c r="AB13" s="12" t="s">
        <v>107</v>
      </c>
    </row>
    <row r="14" spans="1:27" x14ac:dyDescent="0.25">
      <c r="A14" s="11" t="s">
        <v>186</v>
      </c>
      <c r="B14" s="12" t="s">
        <v>187</v>
      </c>
      <c r="C14" s="11" t="s">
        <v>188</v>
      </c>
      <c r="D14" s="12" t="s">
        <v>100</v>
      </c>
      <c r="E14" s="12" t="s">
        <v>101</v>
      </c>
      <c r="F14" s="13">
        <v>45607</v>
      </c>
      <c r="G14" s="12" t="s">
        <v>189</v>
      </c>
      <c r="H14" s="11" t="s">
        <v>190</v>
      </c>
      <c r="I14" s="14">
        <v>30</v>
      </c>
      <c r="J14" s="14">
        <v>0</v>
      </c>
      <c r="K14" s="14">
        <v>20</v>
      </c>
      <c r="L14" s="15">
        <v>3370</v>
      </c>
      <c r="M14" s="15">
        <v>843</v>
      </c>
      <c r="N14" s="15">
        <v>400</v>
      </c>
      <c r="O14" s="15">
        <v>0</v>
      </c>
      <c r="P14" s="15">
        <v>421.25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42">
        <f>IF($B14="","",SUM(L14:Q14)-SUM(R14:U14))</f>
        <v>5034.25</v>
      </c>
      <c r="W14" s="43" t="str">
        <f>IF($B14="","",IF(L14="","⚠ Basic salary missing",IF(SUM(R14:U14)&gt;SUM(L14:Q14),"⚠ Deductions exceed earnings",IF(COUNTIF($A$4:$A$1003,$A14)&gt;1,"⚠ Duplicate ID","✓"))))</f>
        <v>✓</v>
      </c>
      <c r="X14" s="12" t="s">
        <v>125</v>
      </c>
      <c r="Y14" s="13">
        <v>31109</v>
      </c>
      <c r="Z14" s="12" t="s">
        <v>105</v>
      </c>
      <c r="AA14" s="11" t="s">
        <v>191</v>
      </c>
    </row>
    <row r="15" spans="1:27" x14ac:dyDescent="0.25">
      <c r="A15" s="11" t="s">
        <v>192</v>
      </c>
      <c r="B15" s="12" t="s">
        <v>193</v>
      </c>
      <c r="C15" s="11" t="s">
        <v>194</v>
      </c>
      <c r="D15" s="12" t="s">
        <v>111</v>
      </c>
      <c r="E15" s="12" t="s">
        <v>112</v>
      </c>
      <c r="F15" s="13">
        <v>46003</v>
      </c>
      <c r="G15" s="12" t="s">
        <v>195</v>
      </c>
      <c r="H15" s="11" t="s">
        <v>196</v>
      </c>
      <c r="I15" s="14">
        <v>28</v>
      </c>
      <c r="J15" s="14">
        <v>2</v>
      </c>
      <c r="K15" s="14">
        <v>2</v>
      </c>
      <c r="L15" s="15">
        <v>4307</v>
      </c>
      <c r="M15" s="15">
        <v>1077</v>
      </c>
      <c r="N15" s="15">
        <v>450</v>
      </c>
      <c r="O15" s="15">
        <v>0</v>
      </c>
      <c r="P15" s="15">
        <v>53.84</v>
      </c>
      <c r="Q15" s="15">
        <v>0</v>
      </c>
      <c r="R15" s="15">
        <v>0</v>
      </c>
      <c r="S15" s="15">
        <v>388.93</v>
      </c>
      <c r="T15" s="15">
        <v>0</v>
      </c>
      <c r="U15" s="15">
        <v>0</v>
      </c>
      <c r="V15" s="42">
        <f>IF($B15="","",SUM(L15:Q15)-SUM(R15:U15))</f>
        <v>5498.91</v>
      </c>
      <c r="W15" s="43" t="str">
        <f>IF($B15="","",IF(L15="","⚠ Basic salary missing",IF(SUM(R15:U15)&gt;SUM(L15:Q15),"⚠ Deductions exceed earnings",IF(COUNTIF($A$4:$A$1003,$A15)&gt;1,"⚠ Duplicate ID","✓"))))</f>
        <v>✓</v>
      </c>
      <c r="X15" s="12" t="s">
        <v>135</v>
      </c>
      <c r="Y15" s="13">
        <v>31630</v>
      </c>
      <c r="Z15" s="12" t="s">
        <v>116</v>
      </c>
      <c r="AA15" s="11" t="s">
        <v>197</v>
      </c>
    </row>
    <row r="16" spans="1:27" x14ac:dyDescent="0.25">
      <c r="A16" s="11" t="s">
        <v>198</v>
      </c>
      <c r="B16" s="12" t="s">
        <v>199</v>
      </c>
      <c r="C16" s="11" t="s">
        <v>200</v>
      </c>
      <c r="D16" s="12" t="s">
        <v>121</v>
      </c>
      <c r="E16" s="12" t="s">
        <v>122</v>
      </c>
      <c r="F16" s="13">
        <v>44574</v>
      </c>
      <c r="G16" s="12" t="s">
        <v>201</v>
      </c>
      <c r="H16" s="11" t="s">
        <v>202</v>
      </c>
      <c r="I16" s="14">
        <v>30</v>
      </c>
      <c r="J16" s="14">
        <v>0</v>
      </c>
      <c r="K16" s="14">
        <v>9</v>
      </c>
      <c r="L16" s="15">
        <v>5244</v>
      </c>
      <c r="M16" s="15">
        <v>1311</v>
      </c>
      <c r="N16" s="15">
        <v>500</v>
      </c>
      <c r="O16" s="15">
        <v>300</v>
      </c>
      <c r="P16" s="15">
        <v>294.98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42">
        <f>IF($B16="","",SUM(L16:Q16)-SUM(R16:U16))</f>
        <v>7649.98</v>
      </c>
      <c r="W16" s="43" t="str">
        <f>IF($B16="","",IF(L16="","⚠ Basic salary missing",IF(SUM(R16:U16)&gt;SUM(L16:Q16),"⚠ Deductions exceed earnings",IF(COUNTIF($A$4:$A$1003,$A16)&gt;1,"⚠ Duplicate ID","✓"))))</f>
        <v>✓</v>
      </c>
      <c r="X16" s="12" t="s">
        <v>145</v>
      </c>
      <c r="Y16" s="13">
        <v>31786</v>
      </c>
      <c r="Z16" s="12" t="s">
        <v>126</v>
      </c>
      <c r="AA16" s="11" t="s">
        <v>203</v>
      </c>
    </row>
    <row r="17" spans="1:27" x14ac:dyDescent="0.25">
      <c r="A17" s="11" t="s">
        <v>204</v>
      </c>
      <c r="B17" s="12" t="s">
        <v>205</v>
      </c>
      <c r="C17" s="11" t="s">
        <v>206</v>
      </c>
      <c r="D17" s="12" t="s">
        <v>131</v>
      </c>
      <c r="E17" s="12" t="s">
        <v>132</v>
      </c>
      <c r="F17" s="13">
        <v>44971</v>
      </c>
      <c r="G17" s="12" t="s">
        <v>207</v>
      </c>
      <c r="H17" s="11" t="s">
        <v>208</v>
      </c>
      <c r="I17" s="14">
        <v>30</v>
      </c>
      <c r="J17" s="14">
        <v>0</v>
      </c>
      <c r="K17" s="14">
        <v>16</v>
      </c>
      <c r="L17" s="15">
        <v>6181</v>
      </c>
      <c r="M17" s="15">
        <v>1545</v>
      </c>
      <c r="N17" s="15">
        <v>550</v>
      </c>
      <c r="O17" s="15">
        <v>0</v>
      </c>
      <c r="P17" s="15">
        <v>618.1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42">
        <f>IF($B17="","",SUM(L17:Q17)-SUM(R17:U17))</f>
        <v>8894.1</v>
      </c>
      <c r="W17" s="43" t="str">
        <f>IF($B17="","",IF(L17="","⚠ Basic salary missing",IF(SUM(R17:U17)&gt;SUM(L17:Q17),"⚠ Deductions exceed earnings",IF(COUNTIF($A$4:$A$1003,$A17)&gt;1,"⚠ Duplicate ID","✓"))))</f>
        <v>✓</v>
      </c>
      <c r="X17" s="12" t="s">
        <v>154</v>
      </c>
      <c r="Y17" s="13">
        <v>32306</v>
      </c>
      <c r="Z17" s="12" t="s">
        <v>136</v>
      </c>
      <c r="AA17" s="11" t="s">
        <v>209</v>
      </c>
    </row>
    <row r="18" spans="1:27" x14ac:dyDescent="0.25">
      <c r="A18" s="11" t="s">
        <v>210</v>
      </c>
      <c r="B18" s="12" t="s">
        <v>211</v>
      </c>
      <c r="C18" s="11" t="s">
        <v>212</v>
      </c>
      <c r="D18" s="12" t="s">
        <v>141</v>
      </c>
      <c r="E18" s="12" t="s">
        <v>142</v>
      </c>
      <c r="F18" s="13">
        <v>45366</v>
      </c>
      <c r="G18" s="12" t="s">
        <v>213</v>
      </c>
      <c r="H18" s="11" t="s">
        <v>214</v>
      </c>
      <c r="I18" s="14">
        <v>30</v>
      </c>
      <c r="J18" s="14">
        <v>0</v>
      </c>
      <c r="K18" s="14">
        <v>23</v>
      </c>
      <c r="L18" s="15">
        <v>7118</v>
      </c>
      <c r="M18" s="15">
        <v>1780</v>
      </c>
      <c r="N18" s="15">
        <v>600</v>
      </c>
      <c r="O18" s="15">
        <v>0</v>
      </c>
      <c r="P18" s="15">
        <v>1023.21</v>
      </c>
      <c r="Q18" s="15">
        <v>0</v>
      </c>
      <c r="R18" s="15">
        <v>0</v>
      </c>
      <c r="S18" s="15">
        <v>0</v>
      </c>
      <c r="T18" s="15">
        <v>500</v>
      </c>
      <c r="U18" s="15">
        <v>0</v>
      </c>
      <c r="V18" s="42">
        <f>IF($B18="","",SUM(L18:Q18)-SUM(R18:U18))</f>
        <v>10021.21</v>
      </c>
      <c r="W18" s="43" t="str">
        <f>IF($B18="","",IF(L18="","⚠ Basic salary missing",IF(SUM(R18:U18)&gt;SUM(L18:Q18),"⚠ Deductions exceed earnings",IF(COUNTIF($A$4:$A$1003,$A18)&gt;1,"⚠ Duplicate ID","✓"))))</f>
        <v>✓</v>
      </c>
      <c r="X18" s="12" t="s">
        <v>162</v>
      </c>
      <c r="Y18" s="13">
        <v>32827</v>
      </c>
      <c r="Z18" s="12" t="s">
        <v>146</v>
      </c>
      <c r="AA18" s="11" t="s">
        <v>215</v>
      </c>
    </row>
    <row r="19" spans="1:27" x14ac:dyDescent="0.25">
      <c r="A19" s="11" t="s">
        <v>216</v>
      </c>
      <c r="B19" s="12" t="s">
        <v>217</v>
      </c>
      <c r="C19" s="11" t="s">
        <v>218</v>
      </c>
      <c r="D19" s="12" t="s">
        <v>151</v>
      </c>
      <c r="E19" s="12" t="s">
        <v>101</v>
      </c>
      <c r="F19" s="13">
        <v>45763</v>
      </c>
      <c r="G19" s="12" t="s">
        <v>219</v>
      </c>
      <c r="H19" s="11" t="s">
        <v>220</v>
      </c>
      <c r="I19" s="14">
        <v>30</v>
      </c>
      <c r="J19" s="14">
        <v>0</v>
      </c>
      <c r="K19" s="14">
        <v>5</v>
      </c>
      <c r="L19" s="15">
        <v>8055</v>
      </c>
      <c r="M19" s="15">
        <v>2014</v>
      </c>
      <c r="N19" s="15">
        <v>650</v>
      </c>
      <c r="O19" s="15">
        <v>300</v>
      </c>
      <c r="P19" s="15">
        <v>251.72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42">
        <f>IF($B19="","",SUM(L19:Q19)-SUM(R19:U19))</f>
        <v>11270.72</v>
      </c>
      <c r="W19" s="43" t="str">
        <f>IF($B19="","",IF(L19="","⚠ Basic salary missing",IF(SUM(R19:U19)&gt;SUM(L19:Q19),"⚠ Deductions exceed earnings",IF(COUNTIF($A$4:$A$1003,$A19)&gt;1,"⚠ Duplicate ID","✓"))))</f>
        <v>✓</v>
      </c>
      <c r="X19" s="12" t="s">
        <v>170</v>
      </c>
      <c r="Y19" s="13">
        <v>32981</v>
      </c>
      <c r="Z19" s="12" t="s">
        <v>105</v>
      </c>
      <c r="AA19" s="11" t="s">
        <v>221</v>
      </c>
    </row>
    <row r="20" spans="1:27" x14ac:dyDescent="0.25">
      <c r="A20" s="11" t="s">
        <v>222</v>
      </c>
      <c r="B20" s="12" t="s">
        <v>223</v>
      </c>
      <c r="C20" s="11" t="s">
        <v>224</v>
      </c>
      <c r="D20" s="12" t="s">
        <v>159</v>
      </c>
      <c r="E20" s="12" t="s">
        <v>112</v>
      </c>
      <c r="F20" s="13">
        <v>44698</v>
      </c>
      <c r="G20" s="12" t="s">
        <v>225</v>
      </c>
      <c r="H20" s="11" t="s">
        <v>226</v>
      </c>
      <c r="I20" s="14">
        <v>30</v>
      </c>
      <c r="J20" s="14">
        <v>0</v>
      </c>
      <c r="K20" s="14">
        <v>12</v>
      </c>
      <c r="L20" s="15">
        <v>8992</v>
      </c>
      <c r="M20" s="15">
        <v>2248</v>
      </c>
      <c r="N20" s="15">
        <v>300</v>
      </c>
      <c r="O20" s="15">
        <v>0</v>
      </c>
      <c r="P20" s="15">
        <v>674.4</v>
      </c>
      <c r="Q20" s="15">
        <v>0</v>
      </c>
      <c r="R20" s="15">
        <v>1095.9</v>
      </c>
      <c r="S20" s="15">
        <v>0</v>
      </c>
      <c r="T20" s="15">
        <v>0</v>
      </c>
      <c r="U20" s="15">
        <v>0</v>
      </c>
      <c r="V20" s="42">
        <f>IF($B20="","",SUM(L20:Q20)-SUM(R20:U20))</f>
        <v>11118.5</v>
      </c>
      <c r="W20" s="43" t="str">
        <f>IF($B20="","",IF(L20="","⚠ Basic salary missing",IF(SUM(R20:U20)&gt;SUM(L20:Q20),"⚠ Deductions exceed earnings",IF(COUNTIF($A$4:$A$1003,$A20)&gt;1,"⚠ Duplicate ID","✓"))))</f>
        <v>✓</v>
      </c>
      <c r="X20" s="12" t="s">
        <v>104</v>
      </c>
      <c r="Y20" s="13">
        <v>33502</v>
      </c>
      <c r="Z20" s="12" t="s">
        <v>116</v>
      </c>
      <c r="AA20" s="11" t="s">
        <v>227</v>
      </c>
    </row>
    <row r="21" spans="1:27" x14ac:dyDescent="0.25">
      <c r="A21" s="11" t="s">
        <v>228</v>
      </c>
      <c r="B21" s="12" t="s">
        <v>229</v>
      </c>
      <c r="C21" s="11" t="s">
        <v>230</v>
      </c>
      <c r="D21" s="12" t="s">
        <v>167</v>
      </c>
      <c r="E21" s="12" t="s">
        <v>122</v>
      </c>
      <c r="F21" s="13">
        <v>45095</v>
      </c>
      <c r="G21" s="12" t="s">
        <v>231</v>
      </c>
      <c r="H21" s="11" t="s">
        <v>232</v>
      </c>
      <c r="I21" s="14">
        <v>30</v>
      </c>
      <c r="J21" s="14">
        <v>0</v>
      </c>
      <c r="K21" s="14">
        <v>19</v>
      </c>
      <c r="L21" s="15">
        <v>9929</v>
      </c>
      <c r="M21" s="15">
        <v>2482</v>
      </c>
      <c r="N21" s="15">
        <v>350</v>
      </c>
      <c r="O21" s="15">
        <v>0</v>
      </c>
      <c r="P21" s="15">
        <v>1179.07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42">
        <f>IF($B21="","",SUM(L21:Q21)-SUM(R21:U21))</f>
        <v>13940.07</v>
      </c>
      <c r="W21" s="43" t="str">
        <f>IF($B21="","",IF(L21="","⚠ Basic salary missing",IF(SUM(R21:U21)&gt;SUM(L21:Q21),"⚠ Deductions exceed earnings",IF(COUNTIF($A$4:$A$1003,$A21)&gt;1,"⚠ Duplicate ID","✓"))))</f>
        <v>✓</v>
      </c>
      <c r="X21" s="12" t="s">
        <v>115</v>
      </c>
      <c r="Y21" s="13">
        <v>33658</v>
      </c>
      <c r="Z21" s="12" t="s">
        <v>126</v>
      </c>
      <c r="AA21" s="11" t="s">
        <v>233</v>
      </c>
    </row>
    <row r="22" spans="1:28" x14ac:dyDescent="0.25">
      <c r="A22" s="11" t="s">
        <v>234</v>
      </c>
      <c r="B22" s="12" t="s">
        <v>235</v>
      </c>
      <c r="C22" s="11" t="s">
        <v>236</v>
      </c>
      <c r="D22" s="12" t="s">
        <v>175</v>
      </c>
      <c r="E22" s="12" t="s">
        <v>132</v>
      </c>
      <c r="F22" s="13">
        <v>45492</v>
      </c>
      <c r="G22" s="12" t="s">
        <v>237</v>
      </c>
      <c r="H22" s="11" t="s">
        <v>238</v>
      </c>
      <c r="I22" s="14">
        <v>30</v>
      </c>
      <c r="J22" s="14">
        <v>0</v>
      </c>
      <c r="K22" s="14">
        <v>1</v>
      </c>
      <c r="L22" s="15">
        <v>10866</v>
      </c>
      <c r="M22" s="15">
        <v>2717</v>
      </c>
      <c r="N22" s="15">
        <v>400</v>
      </c>
      <c r="O22" s="15">
        <v>300</v>
      </c>
      <c r="P22" s="15">
        <v>67.91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42">
        <f>IF($B22="","",SUM(L22:Q22)-SUM(R22:U22))</f>
        <v>14350.91</v>
      </c>
      <c r="W22" s="43" t="str">
        <f>IF($B22="","",IF(L22="","⚠ Basic salary missing",IF(SUM(R22:U22)&gt;SUM(L22:Q22),"⚠ Deductions exceed earnings",IF(COUNTIF($A$4:$A$1003,$A22)&gt;1,"⚠ Duplicate ID","✓"))))</f>
        <v>✓</v>
      </c>
      <c r="X22" s="12" t="s">
        <v>125</v>
      </c>
      <c r="Y22" s="13">
        <v>34177</v>
      </c>
      <c r="Z22" s="12" t="s">
        <v>136</v>
      </c>
      <c r="AA22" s="11" t="s">
        <v>239</v>
      </c>
      <c r="AB22" s="12" t="s">
        <v>107</v>
      </c>
    </row>
    <row r="23" spans="1:27" x14ac:dyDescent="0.25">
      <c r="A23" s="11" t="s">
        <v>240</v>
      </c>
      <c r="B23" s="12" t="s">
        <v>241</v>
      </c>
      <c r="C23" s="11" t="s">
        <v>242</v>
      </c>
      <c r="D23" s="12" t="s">
        <v>182</v>
      </c>
      <c r="E23" s="12" t="s">
        <v>142</v>
      </c>
      <c r="F23" s="13">
        <v>45889</v>
      </c>
      <c r="G23" s="12" t="s">
        <v>243</v>
      </c>
      <c r="H23" s="11" t="s">
        <v>244</v>
      </c>
      <c r="I23" s="14">
        <v>30</v>
      </c>
      <c r="J23" s="14">
        <v>0</v>
      </c>
      <c r="K23" s="14">
        <v>8</v>
      </c>
      <c r="L23" s="15">
        <v>11803</v>
      </c>
      <c r="M23" s="15">
        <v>2951</v>
      </c>
      <c r="N23" s="15">
        <v>450</v>
      </c>
      <c r="O23" s="15">
        <v>0</v>
      </c>
      <c r="P23" s="15">
        <v>590.15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42">
        <f>IF($B23="","",SUM(L23:Q23)-SUM(R23:U23))</f>
        <v>15794.15</v>
      </c>
      <c r="W23" s="43" t="str">
        <f>IF($B23="","",IF(L23="","⚠ Basic salary missing",IF(SUM(R23:U23)&gt;SUM(L23:Q23),"⚠ Deductions exceed earnings",IF(COUNTIF($A$4:$A$1003,$A23)&gt;1,"⚠ Duplicate ID","✓"))))</f>
        <v>✓</v>
      </c>
      <c r="X23" s="12" t="s">
        <v>135</v>
      </c>
      <c r="Y23" s="13">
        <v>34670</v>
      </c>
      <c r="Z23" s="12" t="s">
        <v>146</v>
      </c>
      <c r="AA23" s="11" t="s">
        <v>245</v>
      </c>
    </row>
    <row r="24" spans="1:27" x14ac:dyDescent="0.25">
      <c r="A24" s="11" t="s">
        <v>246</v>
      </c>
      <c r="B24" s="12" t="s">
        <v>98</v>
      </c>
      <c r="C24" s="11" t="s">
        <v>247</v>
      </c>
      <c r="D24" s="12" t="s">
        <v>100</v>
      </c>
      <c r="E24" s="12" t="s">
        <v>101</v>
      </c>
      <c r="F24" s="13">
        <v>44825</v>
      </c>
      <c r="G24" s="12" t="s">
        <v>248</v>
      </c>
      <c r="H24" s="11" t="s">
        <v>249</v>
      </c>
      <c r="I24" s="14">
        <v>30</v>
      </c>
      <c r="J24" s="14">
        <v>0</v>
      </c>
      <c r="K24" s="14">
        <v>15</v>
      </c>
      <c r="L24" s="15">
        <v>3740</v>
      </c>
      <c r="M24" s="15">
        <v>935</v>
      </c>
      <c r="N24" s="15">
        <v>500</v>
      </c>
      <c r="O24" s="15">
        <v>0</v>
      </c>
      <c r="P24" s="15">
        <v>350.63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42">
        <f>IF($B24="","",SUM(L24:Q24)-SUM(R24:U24))</f>
        <v>5525.63</v>
      </c>
      <c r="W24" s="43" t="str">
        <f>IF($B24="","",IF(L24="","⚠ Basic salary missing",IF(SUM(R24:U24)&gt;SUM(L24:Q24),"⚠ Deductions exceed earnings",IF(COUNTIF($A$4:$A$1003,$A24)&gt;1,"⚠ Duplicate ID","✓"))))</f>
        <v>✓</v>
      </c>
      <c r="X24" s="12" t="s">
        <v>145</v>
      </c>
      <c r="Y24" s="13">
        <v>34824</v>
      </c>
      <c r="Z24" s="12" t="s">
        <v>105</v>
      </c>
      <c r="AA24" s="11" t="s">
        <v>250</v>
      </c>
    </row>
    <row r="25" spans="1:27" x14ac:dyDescent="0.25">
      <c r="A25" s="11" t="s">
        <v>251</v>
      </c>
      <c r="B25" s="12" t="s">
        <v>109</v>
      </c>
      <c r="C25" s="11" t="s">
        <v>252</v>
      </c>
      <c r="D25" s="12" t="s">
        <v>111</v>
      </c>
      <c r="E25" s="12" t="s">
        <v>112</v>
      </c>
      <c r="F25" s="13">
        <v>45221</v>
      </c>
      <c r="G25" s="12" t="s">
        <v>253</v>
      </c>
      <c r="H25" s="11" t="s">
        <v>254</v>
      </c>
      <c r="I25" s="14">
        <v>30</v>
      </c>
      <c r="J25" s="14">
        <v>0</v>
      </c>
      <c r="K25" s="14">
        <v>22</v>
      </c>
      <c r="L25" s="15">
        <v>4677</v>
      </c>
      <c r="M25" s="15">
        <v>1169</v>
      </c>
      <c r="N25" s="15">
        <v>550</v>
      </c>
      <c r="O25" s="15">
        <v>300</v>
      </c>
      <c r="P25" s="15">
        <v>643.09</v>
      </c>
      <c r="Q25" s="15">
        <v>0</v>
      </c>
      <c r="R25" s="15">
        <v>0</v>
      </c>
      <c r="S25" s="15">
        <v>0</v>
      </c>
      <c r="T25" s="15">
        <v>500</v>
      </c>
      <c r="U25" s="15">
        <v>0</v>
      </c>
      <c r="V25" s="42">
        <f>IF($B25="","",SUM(L25:Q25)-SUM(R25:U25))</f>
        <v>6839.09</v>
      </c>
      <c r="W25" s="43" t="str">
        <f>IF($B25="","",IF(L25="","⚠ Basic salary missing",IF(SUM(R25:U25)&gt;SUM(L25:Q25),"⚠ Deductions exceed earnings",IF(COUNTIF($A$4:$A$1003,$A25)&gt;1,"⚠ Duplicate ID","✓"))))</f>
        <v>✓</v>
      </c>
      <c r="X25" s="12" t="s">
        <v>154</v>
      </c>
      <c r="Y25" s="13">
        <v>35346</v>
      </c>
      <c r="Z25" s="12" t="s">
        <v>116</v>
      </c>
      <c r="AA25" s="11" t="s">
        <v>255</v>
      </c>
    </row>
    <row r="26" spans="1:27" x14ac:dyDescent="0.25">
      <c r="A26" s="11" t="s">
        <v>256</v>
      </c>
      <c r="B26" s="12" t="s">
        <v>119</v>
      </c>
      <c r="C26" s="11" t="s">
        <v>257</v>
      </c>
      <c r="D26" s="12" t="s">
        <v>121</v>
      </c>
      <c r="E26" s="12" t="s">
        <v>122</v>
      </c>
      <c r="F26" s="13">
        <v>45619</v>
      </c>
      <c r="G26" s="12" t="s">
        <v>258</v>
      </c>
      <c r="H26" s="11" t="s">
        <v>259</v>
      </c>
      <c r="I26" s="14">
        <v>28</v>
      </c>
      <c r="J26" s="14">
        <v>2</v>
      </c>
      <c r="K26" s="14">
        <v>4</v>
      </c>
      <c r="L26" s="15">
        <v>5614</v>
      </c>
      <c r="M26" s="15">
        <v>1404</v>
      </c>
      <c r="N26" s="15">
        <v>600</v>
      </c>
      <c r="O26" s="15">
        <v>0</v>
      </c>
      <c r="P26" s="15">
        <v>140.35</v>
      </c>
      <c r="Q26" s="15">
        <v>0</v>
      </c>
      <c r="R26" s="15">
        <v>0</v>
      </c>
      <c r="S26" s="15">
        <v>507.87</v>
      </c>
      <c r="T26" s="15">
        <v>0</v>
      </c>
      <c r="U26" s="15">
        <v>0</v>
      </c>
      <c r="V26" s="42">
        <f>IF($B26="","",SUM(L26:Q26)-SUM(R26:U26))</f>
        <v>7250.48</v>
      </c>
      <c r="W26" s="43" t="str">
        <f>IF($B26="","",IF(L26="","⚠ Basic salary missing",IF(SUM(R26:U26)&gt;SUM(L26:Q26),"⚠ Deductions exceed earnings",IF(COUNTIF($A$4:$A$1003,$A26)&gt;1,"⚠ Duplicate ID","✓"))))</f>
        <v>✓</v>
      </c>
      <c r="X26" s="12" t="s">
        <v>162</v>
      </c>
      <c r="Y26" s="13">
        <v>35500</v>
      </c>
      <c r="Z26" s="12" t="s">
        <v>126</v>
      </c>
      <c r="AA26" s="11" t="s">
        <v>260</v>
      </c>
    </row>
    <row r="27" spans="1:27" x14ac:dyDescent="0.25">
      <c r="A27" s="11" t="s">
        <v>261</v>
      </c>
      <c r="B27" s="12" t="s">
        <v>129</v>
      </c>
      <c r="C27" s="11" t="s">
        <v>262</v>
      </c>
      <c r="D27" s="12" t="s">
        <v>131</v>
      </c>
      <c r="E27" s="12" t="s">
        <v>132</v>
      </c>
      <c r="F27" s="13">
        <v>46015</v>
      </c>
      <c r="G27" s="12" t="s">
        <v>263</v>
      </c>
      <c r="H27" s="11" t="s">
        <v>264</v>
      </c>
      <c r="I27" s="14">
        <v>30</v>
      </c>
      <c r="J27" s="14">
        <v>0</v>
      </c>
      <c r="K27" s="14">
        <v>11</v>
      </c>
      <c r="L27" s="15">
        <v>6551</v>
      </c>
      <c r="M27" s="15">
        <v>1638</v>
      </c>
      <c r="N27" s="15">
        <v>650</v>
      </c>
      <c r="O27" s="15">
        <v>0</v>
      </c>
      <c r="P27" s="15">
        <v>450.38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42">
        <f>IF($B27="","",SUM(L27:Q27)-SUM(R27:U27))</f>
        <v>9289.38</v>
      </c>
      <c r="W27" s="43" t="str">
        <f>IF($B27="","",IF(L27="","⚠ Basic salary missing",IF(SUM(R27:U27)&gt;SUM(L27:Q27),"⚠ Deductions exceed earnings",IF(COUNTIF($A$4:$A$1003,$A27)&gt;1,"⚠ Duplicate ID","✓"))))</f>
        <v>✓</v>
      </c>
      <c r="X27" s="12" t="s">
        <v>170</v>
      </c>
      <c r="Y27" s="13">
        <v>36021</v>
      </c>
      <c r="Z27" s="12" t="s">
        <v>136</v>
      </c>
      <c r="AA27" s="11" t="s">
        <v>265</v>
      </c>
    </row>
    <row r="28" spans="1:27" x14ac:dyDescent="0.25">
      <c r="A28" s="11" t="s">
        <v>266</v>
      </c>
      <c r="B28" s="12" t="s">
        <v>139</v>
      </c>
      <c r="C28" s="11" t="s">
        <v>267</v>
      </c>
      <c r="D28" s="12" t="s">
        <v>141</v>
      </c>
      <c r="E28" s="12" t="s">
        <v>142</v>
      </c>
      <c r="F28" s="13">
        <v>44586</v>
      </c>
      <c r="G28" s="12" t="s">
        <v>268</v>
      </c>
      <c r="H28" s="11" t="s">
        <v>269</v>
      </c>
      <c r="I28" s="14">
        <v>30</v>
      </c>
      <c r="J28" s="14">
        <v>0</v>
      </c>
      <c r="K28" s="14">
        <v>18</v>
      </c>
      <c r="L28" s="15">
        <v>7488</v>
      </c>
      <c r="M28" s="15">
        <v>1872</v>
      </c>
      <c r="N28" s="15">
        <v>300</v>
      </c>
      <c r="O28" s="15">
        <v>300</v>
      </c>
      <c r="P28" s="15">
        <v>842.4</v>
      </c>
      <c r="Q28" s="15">
        <v>0</v>
      </c>
      <c r="R28" s="15">
        <v>912.6</v>
      </c>
      <c r="S28" s="15">
        <v>0</v>
      </c>
      <c r="T28" s="15">
        <v>0</v>
      </c>
      <c r="U28" s="15">
        <v>0</v>
      </c>
      <c r="V28" s="42">
        <f>IF($B28="","",SUM(L28:Q28)-SUM(R28:U28))</f>
        <v>9889.8</v>
      </c>
      <c r="W28" s="43" t="str">
        <f>IF($B28="","",IF(L28="","⚠ Basic salary missing",IF(SUM(R28:U28)&gt;SUM(L28:Q28),"⚠ Deductions exceed earnings",IF(COUNTIF($A$4:$A$1003,$A28)&gt;1,"⚠ Duplicate ID","✓"))))</f>
        <v>✓</v>
      </c>
      <c r="X28" s="12" t="s">
        <v>104</v>
      </c>
      <c r="Y28" s="13">
        <v>36177</v>
      </c>
      <c r="Z28" s="12" t="s">
        <v>146</v>
      </c>
      <c r="AA28" s="11" t="s">
        <v>270</v>
      </c>
    </row>
    <row r="29" spans="22:23" x14ac:dyDescent="0.25">
      <c r="V29" s="42">
        <f>IF($B29="","",SUM(L29:Q29)-SUM(R29:U29))</f>
      </c>
      <c r="W29" s="43">
        <f>IF($B29="","",IF(L29="","⚠ Basic salary missing",IF(SUM(R29:U29)&gt;SUM(L29:Q29),"⚠ Deductions exceed earnings",IF(COUNTIF($A$4:$A$1003,$A29)&gt;1,"⚠ Duplicate ID","✓"))))</f>
      </c>
    </row>
    <row r="30" spans="22:23" x14ac:dyDescent="0.25">
      <c r="V30" s="42">
        <f>IF($B30="","",SUM(L30:Q30)-SUM(R30:U30))</f>
      </c>
      <c r="W30" s="43">
        <f>IF($B30="","",IF(L30="","⚠ Basic salary missing",IF(SUM(R30:U30)&gt;SUM(L30:Q30),"⚠ Deductions exceed earnings",IF(COUNTIF($A$4:$A$1003,$A30)&gt;1,"⚠ Duplicate ID","✓"))))</f>
      </c>
    </row>
    <row r="31" spans="22:23" x14ac:dyDescent="0.25">
      <c r="V31" s="42">
        <f>IF($B31="","",SUM(L31:Q31)-SUM(R31:U31))</f>
      </c>
      <c r="W31" s="43">
        <f>IF($B31="","",IF(L31="","⚠ Basic salary missing",IF(SUM(R31:U31)&gt;SUM(L31:Q31),"⚠ Deductions exceed earnings",IF(COUNTIF($A$4:$A$1003,$A31)&gt;1,"⚠ Duplicate ID","✓"))))</f>
      </c>
    </row>
    <row r="32" spans="22:23" x14ac:dyDescent="0.25">
      <c r="V32" s="42">
        <f>IF($B32="","",SUM(L32:Q32)-SUM(R32:U32))</f>
      </c>
      <c r="W32" s="43">
        <f>IF($B32="","",IF(L32="","⚠ Basic salary missing",IF(SUM(R32:U32)&gt;SUM(L32:Q32),"⚠ Deductions exceed earnings",IF(COUNTIF($A$4:$A$1003,$A32)&gt;1,"⚠ Duplicate ID","✓"))))</f>
      </c>
    </row>
    <row r="33" spans="22:23" x14ac:dyDescent="0.25">
      <c r="V33" s="42">
        <f>IF($B33="","",SUM(L33:Q33)-SUM(R33:U33))</f>
      </c>
      <c r="W33" s="43">
        <f>IF($B33="","",IF(L33="","⚠ Basic salary missing",IF(SUM(R33:U33)&gt;SUM(L33:Q33),"⚠ Deductions exceed earnings",IF(COUNTIF($A$4:$A$1003,$A33)&gt;1,"⚠ Duplicate ID","✓"))))</f>
      </c>
    </row>
    <row r="34" spans="22:23" x14ac:dyDescent="0.25">
      <c r="V34" s="42">
        <f>IF($B34="","",SUM(L34:Q34)-SUM(R34:U34))</f>
      </c>
      <c r="W34" s="43">
        <f>IF($B34="","",IF(L34="","⚠ Basic salary missing",IF(SUM(R34:U34)&gt;SUM(L34:Q34),"⚠ Deductions exceed earnings",IF(COUNTIF($A$4:$A$1003,$A34)&gt;1,"⚠ Duplicate ID","✓"))))</f>
      </c>
    </row>
    <row r="35" spans="22:23" x14ac:dyDescent="0.25">
      <c r="V35" s="42">
        <f>IF($B35="","",SUM(L35:Q35)-SUM(R35:U35))</f>
      </c>
      <c r="W35" s="43">
        <f>IF($B35="","",IF(L35="","⚠ Basic salary missing",IF(SUM(R35:U35)&gt;SUM(L35:Q35),"⚠ Deductions exceed earnings",IF(COUNTIF($A$4:$A$1003,$A35)&gt;1,"⚠ Duplicate ID","✓"))))</f>
      </c>
    </row>
    <row r="36" spans="22:23" x14ac:dyDescent="0.25">
      <c r="V36" s="42">
        <f>IF($B36="","",SUM(L36:Q36)-SUM(R36:U36))</f>
      </c>
      <c r="W36" s="43">
        <f>IF($B36="","",IF(L36="","⚠ Basic salary missing",IF(SUM(R36:U36)&gt;SUM(L36:Q36),"⚠ Deductions exceed earnings",IF(COUNTIF($A$4:$A$1003,$A36)&gt;1,"⚠ Duplicate ID","✓"))))</f>
      </c>
    </row>
    <row r="37" spans="22:23" x14ac:dyDescent="0.25">
      <c r="V37" s="42">
        <f>IF($B37="","",SUM(L37:Q37)-SUM(R37:U37))</f>
      </c>
      <c r="W37" s="43">
        <f>IF($B37="","",IF(L37="","⚠ Basic salary missing",IF(SUM(R37:U37)&gt;SUM(L37:Q37),"⚠ Deductions exceed earnings",IF(COUNTIF($A$4:$A$1003,$A37)&gt;1,"⚠ Duplicate ID","✓"))))</f>
      </c>
    </row>
    <row r="38" spans="22:23" x14ac:dyDescent="0.25">
      <c r="V38" s="42">
        <f>IF($B38="","",SUM(L38:Q38)-SUM(R38:U38))</f>
      </c>
      <c r="W38" s="43">
        <f>IF($B38="","",IF(L38="","⚠ Basic salary missing",IF(SUM(R38:U38)&gt;SUM(L38:Q38),"⚠ Deductions exceed earnings",IF(COUNTIF($A$4:$A$1003,$A38)&gt;1,"⚠ Duplicate ID","✓"))))</f>
      </c>
    </row>
    <row r="39" spans="22:23" x14ac:dyDescent="0.25">
      <c r="V39" s="42">
        <f>IF($B39="","",SUM(L39:Q39)-SUM(R39:U39))</f>
      </c>
      <c r="W39" s="43">
        <f>IF($B39="","",IF(L39="","⚠ Basic salary missing",IF(SUM(R39:U39)&gt;SUM(L39:Q39),"⚠ Deductions exceed earnings",IF(COUNTIF($A$4:$A$1003,$A39)&gt;1,"⚠ Duplicate ID","✓"))))</f>
      </c>
    </row>
    <row r="40" spans="22:23" x14ac:dyDescent="0.25">
      <c r="V40" s="42">
        <f>IF($B40="","",SUM(L40:Q40)-SUM(R40:U40))</f>
      </c>
      <c r="W40" s="43">
        <f>IF($B40="","",IF(L40="","⚠ Basic salary missing",IF(SUM(R40:U40)&gt;SUM(L40:Q40),"⚠ Deductions exceed earnings",IF(COUNTIF($A$4:$A$1003,$A40)&gt;1,"⚠ Duplicate ID","✓"))))</f>
      </c>
    </row>
    <row r="41" spans="22:23" x14ac:dyDescent="0.25">
      <c r="V41" s="42">
        <f>IF($B41="","",SUM(L41:Q41)-SUM(R41:U41))</f>
      </c>
      <c r="W41" s="43">
        <f>IF($B41="","",IF(L41="","⚠ Basic salary missing",IF(SUM(R41:U41)&gt;SUM(L41:Q41),"⚠ Deductions exceed earnings",IF(COUNTIF($A$4:$A$1003,$A41)&gt;1,"⚠ Duplicate ID","✓"))))</f>
      </c>
    </row>
    <row r="42" spans="22:23" x14ac:dyDescent="0.25">
      <c r="V42" s="42">
        <f>IF($B42="","",SUM(L42:Q42)-SUM(R42:U42))</f>
      </c>
      <c r="W42" s="43">
        <f>IF($B42="","",IF(L42="","⚠ Basic salary missing",IF(SUM(R42:U42)&gt;SUM(L42:Q42),"⚠ Deductions exceed earnings",IF(COUNTIF($A$4:$A$1003,$A42)&gt;1,"⚠ Duplicate ID","✓"))))</f>
      </c>
    </row>
    <row r="43" spans="22:23" x14ac:dyDescent="0.25">
      <c r="V43" s="42">
        <f>IF($B43="","",SUM(L43:Q43)-SUM(R43:U43))</f>
      </c>
      <c r="W43" s="43">
        <f>IF($B43="","",IF(L43="","⚠ Basic salary missing",IF(SUM(R43:U43)&gt;SUM(L43:Q43),"⚠ Deductions exceed earnings",IF(COUNTIF($A$4:$A$1003,$A43)&gt;1,"⚠ Duplicate ID","✓"))))</f>
      </c>
    </row>
    <row r="44" spans="22:23" x14ac:dyDescent="0.25">
      <c r="V44" s="42">
        <f>IF($B44="","",SUM(L44:Q44)-SUM(R44:U44))</f>
      </c>
      <c r="W44" s="43">
        <f>IF($B44="","",IF(L44="","⚠ Basic salary missing",IF(SUM(R44:U44)&gt;SUM(L44:Q44),"⚠ Deductions exceed earnings",IF(COUNTIF($A$4:$A$1003,$A44)&gt;1,"⚠ Duplicate ID","✓"))))</f>
      </c>
    </row>
    <row r="45" spans="22:23" x14ac:dyDescent="0.25">
      <c r="V45" s="42">
        <f>IF($B45="","",SUM(L45:Q45)-SUM(R45:U45))</f>
      </c>
      <c r="W45" s="43">
        <f>IF($B45="","",IF(L45="","⚠ Basic salary missing",IF(SUM(R45:U45)&gt;SUM(L45:Q45),"⚠ Deductions exceed earnings",IF(COUNTIF($A$4:$A$1003,$A45)&gt;1,"⚠ Duplicate ID","✓"))))</f>
      </c>
    </row>
    <row r="46" spans="22:23" x14ac:dyDescent="0.25">
      <c r="V46" s="42">
        <f>IF($B46="","",SUM(L46:Q46)-SUM(R46:U46))</f>
      </c>
      <c r="W46" s="43">
        <f>IF($B46="","",IF(L46="","⚠ Basic salary missing",IF(SUM(R46:U46)&gt;SUM(L46:Q46),"⚠ Deductions exceed earnings",IF(COUNTIF($A$4:$A$1003,$A46)&gt;1,"⚠ Duplicate ID","✓"))))</f>
      </c>
    </row>
    <row r="47" spans="22:23" x14ac:dyDescent="0.25">
      <c r="V47" s="42">
        <f>IF($B47="","",SUM(L47:Q47)-SUM(R47:U47))</f>
      </c>
      <c r="W47" s="43">
        <f>IF($B47="","",IF(L47="","⚠ Basic salary missing",IF(SUM(R47:U47)&gt;SUM(L47:Q47),"⚠ Deductions exceed earnings",IF(COUNTIF($A$4:$A$1003,$A47)&gt;1,"⚠ Duplicate ID","✓"))))</f>
      </c>
    </row>
    <row r="48" spans="22:23" x14ac:dyDescent="0.25">
      <c r="V48" s="42">
        <f>IF($B48="","",SUM(L48:Q48)-SUM(R48:U48))</f>
      </c>
      <c r="W48" s="43">
        <f>IF($B48="","",IF(L48="","⚠ Basic salary missing",IF(SUM(R48:U48)&gt;SUM(L48:Q48),"⚠ Deductions exceed earnings",IF(COUNTIF($A$4:$A$1003,$A48)&gt;1,"⚠ Duplicate ID","✓"))))</f>
      </c>
    </row>
    <row r="49" spans="22:23" x14ac:dyDescent="0.25">
      <c r="V49" s="42">
        <f>IF($B49="","",SUM(L49:Q49)-SUM(R49:U49))</f>
      </c>
      <c r="W49" s="43">
        <f>IF($B49="","",IF(L49="","⚠ Basic salary missing",IF(SUM(R49:U49)&gt;SUM(L49:Q49),"⚠ Deductions exceed earnings",IF(COUNTIF($A$4:$A$1003,$A49)&gt;1,"⚠ Duplicate ID","✓"))))</f>
      </c>
    </row>
    <row r="50" spans="22:23" x14ac:dyDescent="0.25">
      <c r="V50" s="42">
        <f>IF($B50="","",SUM(L50:Q50)-SUM(R50:U50))</f>
      </c>
      <c r="W50" s="43">
        <f>IF($B50="","",IF(L50="","⚠ Basic salary missing",IF(SUM(R50:U50)&gt;SUM(L50:Q50),"⚠ Deductions exceed earnings",IF(COUNTIF($A$4:$A$1003,$A50)&gt;1,"⚠ Duplicate ID","✓"))))</f>
      </c>
    </row>
    <row r="51" spans="22:23" x14ac:dyDescent="0.25">
      <c r="V51" s="42">
        <f>IF($B51="","",SUM(L51:Q51)-SUM(R51:U51))</f>
      </c>
      <c r="W51" s="43">
        <f>IF($B51="","",IF(L51="","⚠ Basic salary missing",IF(SUM(R51:U51)&gt;SUM(L51:Q51),"⚠ Deductions exceed earnings",IF(COUNTIF($A$4:$A$1003,$A51)&gt;1,"⚠ Duplicate ID","✓"))))</f>
      </c>
    </row>
    <row r="52" spans="22:23" x14ac:dyDescent="0.25">
      <c r="V52" s="42">
        <f>IF($B52="","",SUM(L52:Q52)-SUM(R52:U52))</f>
      </c>
      <c r="W52" s="43">
        <f>IF($B52="","",IF(L52="","⚠ Basic salary missing",IF(SUM(R52:U52)&gt;SUM(L52:Q52),"⚠ Deductions exceed earnings",IF(COUNTIF($A$4:$A$1003,$A52)&gt;1,"⚠ Duplicate ID","✓"))))</f>
      </c>
    </row>
    <row r="53" spans="22:23" x14ac:dyDescent="0.25">
      <c r="V53" s="42">
        <f>IF($B53="","",SUM(L53:Q53)-SUM(R53:U53))</f>
      </c>
      <c r="W53" s="43">
        <f>IF($B53="","",IF(L53="","⚠ Basic salary missing",IF(SUM(R53:U53)&gt;SUM(L53:Q53),"⚠ Deductions exceed earnings",IF(COUNTIF($A$4:$A$1003,$A53)&gt;1,"⚠ Duplicate ID","✓"))))</f>
      </c>
    </row>
    <row r="54" spans="22:23" x14ac:dyDescent="0.25">
      <c r="V54" s="42">
        <f>IF($B54="","",SUM(L54:Q54)-SUM(R54:U54))</f>
      </c>
      <c r="W54" s="43">
        <f>IF($B54="","",IF(L54="","⚠ Basic salary missing",IF(SUM(R54:U54)&gt;SUM(L54:Q54),"⚠ Deductions exceed earnings",IF(COUNTIF($A$4:$A$1003,$A54)&gt;1,"⚠ Duplicate ID","✓"))))</f>
      </c>
    </row>
    <row r="55" spans="22:23" x14ac:dyDescent="0.25">
      <c r="V55" s="42">
        <f>IF($B55="","",SUM(L55:Q55)-SUM(R55:U55))</f>
      </c>
      <c r="W55" s="43">
        <f>IF($B55="","",IF(L55="","⚠ Basic salary missing",IF(SUM(R55:U55)&gt;SUM(L55:Q55),"⚠ Deductions exceed earnings",IF(COUNTIF($A$4:$A$1003,$A55)&gt;1,"⚠ Duplicate ID","✓"))))</f>
      </c>
    </row>
    <row r="56" spans="22:23" x14ac:dyDescent="0.25">
      <c r="V56" s="42">
        <f>IF($B56="","",SUM(L56:Q56)-SUM(R56:U56))</f>
      </c>
      <c r="W56" s="43">
        <f>IF($B56="","",IF(L56="","⚠ Basic salary missing",IF(SUM(R56:U56)&gt;SUM(L56:Q56),"⚠ Deductions exceed earnings",IF(COUNTIF($A$4:$A$1003,$A56)&gt;1,"⚠ Duplicate ID","✓"))))</f>
      </c>
    </row>
    <row r="57" spans="22:23" x14ac:dyDescent="0.25">
      <c r="V57" s="42">
        <f>IF($B57="","",SUM(L57:Q57)-SUM(R57:U57))</f>
      </c>
      <c r="W57" s="43">
        <f>IF($B57="","",IF(L57="","⚠ Basic salary missing",IF(SUM(R57:U57)&gt;SUM(L57:Q57),"⚠ Deductions exceed earnings",IF(COUNTIF($A$4:$A$1003,$A57)&gt;1,"⚠ Duplicate ID","✓"))))</f>
      </c>
    </row>
    <row r="58" spans="22:23" x14ac:dyDescent="0.25">
      <c r="V58" s="42">
        <f>IF($B58="","",SUM(L58:Q58)-SUM(R58:U58))</f>
      </c>
      <c r="W58" s="43">
        <f>IF($B58="","",IF(L58="","⚠ Basic salary missing",IF(SUM(R58:U58)&gt;SUM(L58:Q58),"⚠ Deductions exceed earnings",IF(COUNTIF($A$4:$A$1003,$A58)&gt;1,"⚠ Duplicate ID","✓"))))</f>
      </c>
    </row>
    <row r="59" spans="22:23" x14ac:dyDescent="0.25">
      <c r="V59" s="42">
        <f>IF($B59="","",SUM(L59:Q59)-SUM(R59:U59))</f>
      </c>
      <c r="W59" s="43">
        <f>IF($B59="","",IF(L59="","⚠ Basic salary missing",IF(SUM(R59:U59)&gt;SUM(L59:Q59),"⚠ Deductions exceed earnings",IF(COUNTIF($A$4:$A$1003,$A59)&gt;1,"⚠ Duplicate ID","✓"))))</f>
      </c>
    </row>
    <row r="60" spans="22:23" x14ac:dyDescent="0.25">
      <c r="V60" s="42">
        <f>IF($B60="","",SUM(L60:Q60)-SUM(R60:U60))</f>
      </c>
      <c r="W60" s="43">
        <f>IF($B60="","",IF(L60="","⚠ Basic salary missing",IF(SUM(R60:U60)&gt;SUM(L60:Q60),"⚠ Deductions exceed earnings",IF(COUNTIF($A$4:$A$1003,$A60)&gt;1,"⚠ Duplicate ID","✓"))))</f>
      </c>
    </row>
    <row r="61" spans="22:23" x14ac:dyDescent="0.25">
      <c r="V61" s="42">
        <f>IF($B61="","",SUM(L61:Q61)-SUM(R61:U61))</f>
      </c>
      <c r="W61" s="43">
        <f>IF($B61="","",IF(L61="","⚠ Basic salary missing",IF(SUM(R61:U61)&gt;SUM(L61:Q61),"⚠ Deductions exceed earnings",IF(COUNTIF($A$4:$A$1003,$A61)&gt;1,"⚠ Duplicate ID","✓"))))</f>
      </c>
    </row>
    <row r="62" spans="22:23" x14ac:dyDescent="0.25">
      <c r="V62" s="42">
        <f>IF($B62="","",SUM(L62:Q62)-SUM(R62:U62))</f>
      </c>
      <c r="W62" s="43">
        <f>IF($B62="","",IF(L62="","⚠ Basic salary missing",IF(SUM(R62:U62)&gt;SUM(L62:Q62),"⚠ Deductions exceed earnings",IF(COUNTIF($A$4:$A$1003,$A62)&gt;1,"⚠ Duplicate ID","✓"))))</f>
      </c>
    </row>
    <row r="63" spans="22:23" x14ac:dyDescent="0.25">
      <c r="V63" s="42">
        <f>IF($B63="","",SUM(L63:Q63)-SUM(R63:U63))</f>
      </c>
      <c r="W63" s="43">
        <f>IF($B63="","",IF(L63="","⚠ Basic salary missing",IF(SUM(R63:U63)&gt;SUM(L63:Q63),"⚠ Deductions exceed earnings",IF(COUNTIF($A$4:$A$1003,$A63)&gt;1,"⚠ Duplicate ID","✓"))))</f>
      </c>
    </row>
    <row r="64" spans="22:23" x14ac:dyDescent="0.25">
      <c r="V64" s="42">
        <f>IF($B64="","",SUM(L64:Q64)-SUM(R64:U64))</f>
      </c>
      <c r="W64" s="43">
        <f>IF($B64="","",IF(L64="","⚠ Basic salary missing",IF(SUM(R64:U64)&gt;SUM(L64:Q64),"⚠ Deductions exceed earnings",IF(COUNTIF($A$4:$A$1003,$A64)&gt;1,"⚠ Duplicate ID","✓"))))</f>
      </c>
    </row>
    <row r="65" spans="22:23" x14ac:dyDescent="0.25">
      <c r="V65" s="42">
        <f>IF($B65="","",SUM(L65:Q65)-SUM(R65:U65))</f>
      </c>
      <c r="W65" s="43">
        <f>IF($B65="","",IF(L65="","⚠ Basic salary missing",IF(SUM(R65:U65)&gt;SUM(L65:Q65),"⚠ Deductions exceed earnings",IF(COUNTIF($A$4:$A$1003,$A65)&gt;1,"⚠ Duplicate ID","✓"))))</f>
      </c>
    </row>
    <row r="66" spans="22:23" x14ac:dyDescent="0.25">
      <c r="V66" s="42">
        <f>IF($B66="","",SUM(L66:Q66)-SUM(R66:U66))</f>
      </c>
      <c r="W66" s="43">
        <f>IF($B66="","",IF(L66="","⚠ Basic salary missing",IF(SUM(R66:U66)&gt;SUM(L66:Q66),"⚠ Deductions exceed earnings",IF(COUNTIF($A$4:$A$1003,$A66)&gt;1,"⚠ Duplicate ID","✓"))))</f>
      </c>
    </row>
    <row r="67" spans="22:23" x14ac:dyDescent="0.25">
      <c r="V67" s="42">
        <f>IF($B67="","",SUM(L67:Q67)-SUM(R67:U67))</f>
      </c>
      <c r="W67" s="43">
        <f>IF($B67="","",IF(L67="","⚠ Basic salary missing",IF(SUM(R67:U67)&gt;SUM(L67:Q67),"⚠ Deductions exceed earnings",IF(COUNTIF($A$4:$A$1003,$A67)&gt;1,"⚠ Duplicate ID","✓"))))</f>
      </c>
    </row>
    <row r="68" spans="22:23" x14ac:dyDescent="0.25">
      <c r="V68" s="42">
        <f>IF($B68="","",SUM(L68:Q68)-SUM(R68:U68))</f>
      </c>
      <c r="W68" s="43">
        <f>IF($B68="","",IF(L68="","⚠ Basic salary missing",IF(SUM(R68:U68)&gt;SUM(L68:Q68),"⚠ Deductions exceed earnings",IF(COUNTIF($A$4:$A$1003,$A68)&gt;1,"⚠ Duplicate ID","✓"))))</f>
      </c>
    </row>
    <row r="69" spans="22:23" x14ac:dyDescent="0.25">
      <c r="V69" s="42">
        <f>IF($B69="","",SUM(L69:Q69)-SUM(R69:U69))</f>
      </c>
      <c r="W69" s="43">
        <f>IF($B69="","",IF(L69="","⚠ Basic salary missing",IF(SUM(R69:U69)&gt;SUM(L69:Q69),"⚠ Deductions exceed earnings",IF(COUNTIF($A$4:$A$1003,$A69)&gt;1,"⚠ Duplicate ID","✓"))))</f>
      </c>
    </row>
    <row r="70" spans="22:23" x14ac:dyDescent="0.25">
      <c r="V70" s="42">
        <f>IF($B70="","",SUM(L70:Q70)-SUM(R70:U70))</f>
      </c>
      <c r="W70" s="43">
        <f>IF($B70="","",IF(L70="","⚠ Basic salary missing",IF(SUM(R70:U70)&gt;SUM(L70:Q70),"⚠ Deductions exceed earnings",IF(COUNTIF($A$4:$A$1003,$A70)&gt;1,"⚠ Duplicate ID","✓"))))</f>
      </c>
    </row>
    <row r="71" spans="22:23" x14ac:dyDescent="0.25">
      <c r="V71" s="42">
        <f>IF($B71="","",SUM(L71:Q71)-SUM(R71:U71))</f>
      </c>
      <c r="W71" s="43">
        <f>IF($B71="","",IF(L71="","⚠ Basic salary missing",IF(SUM(R71:U71)&gt;SUM(L71:Q71),"⚠ Deductions exceed earnings",IF(COUNTIF($A$4:$A$1003,$A71)&gt;1,"⚠ Duplicate ID","✓"))))</f>
      </c>
    </row>
    <row r="72" spans="22:23" x14ac:dyDescent="0.25">
      <c r="V72" s="42">
        <f>IF($B72="","",SUM(L72:Q72)-SUM(R72:U72))</f>
      </c>
      <c r="W72" s="43">
        <f>IF($B72="","",IF(L72="","⚠ Basic salary missing",IF(SUM(R72:U72)&gt;SUM(L72:Q72),"⚠ Deductions exceed earnings",IF(COUNTIF($A$4:$A$1003,$A72)&gt;1,"⚠ Duplicate ID","✓"))))</f>
      </c>
    </row>
    <row r="73" spans="22:23" x14ac:dyDescent="0.25">
      <c r="V73" s="42">
        <f>IF($B73="","",SUM(L73:Q73)-SUM(R73:U73))</f>
      </c>
      <c r="W73" s="43">
        <f>IF($B73="","",IF(L73="","⚠ Basic salary missing",IF(SUM(R73:U73)&gt;SUM(L73:Q73),"⚠ Deductions exceed earnings",IF(COUNTIF($A$4:$A$1003,$A73)&gt;1,"⚠ Duplicate ID","✓"))))</f>
      </c>
    </row>
    <row r="74" spans="22:23" x14ac:dyDescent="0.25">
      <c r="V74" s="42">
        <f>IF($B74="","",SUM(L74:Q74)-SUM(R74:U74))</f>
      </c>
      <c r="W74" s="43">
        <f>IF($B74="","",IF(L74="","⚠ Basic salary missing",IF(SUM(R74:U74)&gt;SUM(L74:Q74),"⚠ Deductions exceed earnings",IF(COUNTIF($A$4:$A$1003,$A74)&gt;1,"⚠ Duplicate ID","✓"))))</f>
      </c>
    </row>
    <row r="75" spans="22:23" x14ac:dyDescent="0.25">
      <c r="V75" s="42">
        <f>IF($B75="","",SUM(L75:Q75)-SUM(R75:U75))</f>
      </c>
      <c r="W75" s="43">
        <f>IF($B75="","",IF(L75="","⚠ Basic salary missing",IF(SUM(R75:U75)&gt;SUM(L75:Q75),"⚠ Deductions exceed earnings",IF(COUNTIF($A$4:$A$1003,$A75)&gt;1,"⚠ Duplicate ID","✓"))))</f>
      </c>
    </row>
    <row r="76" spans="22:23" x14ac:dyDescent="0.25">
      <c r="V76" s="42">
        <f>IF($B76="","",SUM(L76:Q76)-SUM(R76:U76))</f>
      </c>
      <c r="W76" s="43">
        <f>IF($B76="","",IF(L76="","⚠ Basic salary missing",IF(SUM(R76:U76)&gt;SUM(L76:Q76),"⚠ Deductions exceed earnings",IF(COUNTIF($A$4:$A$1003,$A76)&gt;1,"⚠ Duplicate ID","✓"))))</f>
      </c>
    </row>
    <row r="77" spans="22:23" x14ac:dyDescent="0.25">
      <c r="V77" s="42">
        <f>IF($B77="","",SUM(L77:Q77)-SUM(R77:U77))</f>
      </c>
      <c r="W77" s="43">
        <f>IF($B77="","",IF(L77="","⚠ Basic salary missing",IF(SUM(R77:U77)&gt;SUM(L77:Q77),"⚠ Deductions exceed earnings",IF(COUNTIF($A$4:$A$1003,$A77)&gt;1,"⚠ Duplicate ID","✓"))))</f>
      </c>
    </row>
    <row r="78" spans="22:23" x14ac:dyDescent="0.25">
      <c r="V78" s="42">
        <f>IF($B78="","",SUM(L78:Q78)-SUM(R78:U78))</f>
      </c>
      <c r="W78" s="43">
        <f>IF($B78="","",IF(L78="","⚠ Basic salary missing",IF(SUM(R78:U78)&gt;SUM(L78:Q78),"⚠ Deductions exceed earnings",IF(COUNTIF($A$4:$A$1003,$A78)&gt;1,"⚠ Duplicate ID","✓"))))</f>
      </c>
    </row>
    <row r="79" spans="22:23" x14ac:dyDescent="0.25">
      <c r="V79" s="42">
        <f>IF($B79="","",SUM(L79:Q79)-SUM(R79:U79))</f>
      </c>
      <c r="W79" s="43">
        <f>IF($B79="","",IF(L79="","⚠ Basic salary missing",IF(SUM(R79:U79)&gt;SUM(L79:Q79),"⚠ Deductions exceed earnings",IF(COUNTIF($A$4:$A$1003,$A79)&gt;1,"⚠ Duplicate ID","✓"))))</f>
      </c>
    </row>
    <row r="80" spans="22:23" x14ac:dyDescent="0.25">
      <c r="V80" s="42">
        <f>IF($B80="","",SUM(L80:Q80)-SUM(R80:U80))</f>
      </c>
      <c r="W80" s="43">
        <f>IF($B80="","",IF(L80="","⚠ Basic salary missing",IF(SUM(R80:U80)&gt;SUM(L80:Q80),"⚠ Deductions exceed earnings",IF(COUNTIF($A$4:$A$1003,$A80)&gt;1,"⚠ Duplicate ID","✓"))))</f>
      </c>
    </row>
    <row r="81" spans="22:23" x14ac:dyDescent="0.25">
      <c r="V81" s="42">
        <f>IF($B81="","",SUM(L81:Q81)-SUM(R81:U81))</f>
      </c>
      <c r="W81" s="43">
        <f>IF($B81="","",IF(L81="","⚠ Basic salary missing",IF(SUM(R81:U81)&gt;SUM(L81:Q81),"⚠ Deductions exceed earnings",IF(COUNTIF($A$4:$A$1003,$A81)&gt;1,"⚠ Duplicate ID","✓"))))</f>
      </c>
    </row>
    <row r="82" spans="22:23" x14ac:dyDescent="0.25">
      <c r="V82" s="42">
        <f>IF($B82="","",SUM(L82:Q82)-SUM(R82:U82))</f>
      </c>
      <c r="W82" s="43">
        <f>IF($B82="","",IF(L82="","⚠ Basic salary missing",IF(SUM(R82:U82)&gt;SUM(L82:Q82),"⚠ Deductions exceed earnings",IF(COUNTIF($A$4:$A$1003,$A82)&gt;1,"⚠ Duplicate ID","✓"))))</f>
      </c>
    </row>
    <row r="83" spans="22:23" x14ac:dyDescent="0.25">
      <c r="V83" s="42">
        <f>IF($B83="","",SUM(L83:Q83)-SUM(R83:U83))</f>
      </c>
      <c r="W83" s="43">
        <f>IF($B83="","",IF(L83="","⚠ Basic salary missing",IF(SUM(R83:U83)&gt;SUM(L83:Q83),"⚠ Deductions exceed earnings",IF(COUNTIF($A$4:$A$1003,$A83)&gt;1,"⚠ Duplicate ID","✓"))))</f>
      </c>
    </row>
    <row r="84" spans="22:23" x14ac:dyDescent="0.25">
      <c r="V84" s="42">
        <f>IF($B84="","",SUM(L84:Q84)-SUM(R84:U84))</f>
      </c>
      <c r="W84" s="43">
        <f>IF($B84="","",IF(L84="","⚠ Basic salary missing",IF(SUM(R84:U84)&gt;SUM(L84:Q84),"⚠ Deductions exceed earnings",IF(COUNTIF($A$4:$A$1003,$A84)&gt;1,"⚠ Duplicate ID","✓"))))</f>
      </c>
    </row>
    <row r="85" spans="22:23" x14ac:dyDescent="0.25">
      <c r="V85" s="42">
        <f>IF($B85="","",SUM(L85:Q85)-SUM(R85:U85))</f>
      </c>
      <c r="W85" s="43">
        <f>IF($B85="","",IF(L85="","⚠ Basic salary missing",IF(SUM(R85:U85)&gt;SUM(L85:Q85),"⚠ Deductions exceed earnings",IF(COUNTIF($A$4:$A$1003,$A85)&gt;1,"⚠ Duplicate ID","✓"))))</f>
      </c>
    </row>
    <row r="86" spans="22:23" x14ac:dyDescent="0.25">
      <c r="V86" s="42">
        <f>IF($B86="","",SUM(L86:Q86)-SUM(R86:U86))</f>
      </c>
      <c r="W86" s="43">
        <f>IF($B86="","",IF(L86="","⚠ Basic salary missing",IF(SUM(R86:U86)&gt;SUM(L86:Q86),"⚠ Deductions exceed earnings",IF(COUNTIF($A$4:$A$1003,$A86)&gt;1,"⚠ Duplicate ID","✓"))))</f>
      </c>
    </row>
    <row r="87" spans="22:23" x14ac:dyDescent="0.25">
      <c r="V87" s="42">
        <f>IF($B87="","",SUM(L87:Q87)-SUM(R87:U87))</f>
      </c>
      <c r="W87" s="43">
        <f>IF($B87="","",IF(L87="","⚠ Basic salary missing",IF(SUM(R87:U87)&gt;SUM(L87:Q87),"⚠ Deductions exceed earnings",IF(COUNTIF($A$4:$A$1003,$A87)&gt;1,"⚠ Duplicate ID","✓"))))</f>
      </c>
    </row>
    <row r="88" spans="22:23" x14ac:dyDescent="0.25">
      <c r="V88" s="42">
        <f>IF($B88="","",SUM(L88:Q88)-SUM(R88:U88))</f>
      </c>
      <c r="W88" s="43">
        <f>IF($B88="","",IF(L88="","⚠ Basic salary missing",IF(SUM(R88:U88)&gt;SUM(L88:Q88),"⚠ Deductions exceed earnings",IF(COUNTIF($A$4:$A$1003,$A88)&gt;1,"⚠ Duplicate ID","✓"))))</f>
      </c>
    </row>
    <row r="89" spans="22:23" x14ac:dyDescent="0.25">
      <c r="V89" s="42">
        <f>IF($B89="","",SUM(L89:Q89)-SUM(R89:U89))</f>
      </c>
      <c r="W89" s="43">
        <f>IF($B89="","",IF(L89="","⚠ Basic salary missing",IF(SUM(R89:U89)&gt;SUM(L89:Q89),"⚠ Deductions exceed earnings",IF(COUNTIF($A$4:$A$1003,$A89)&gt;1,"⚠ Duplicate ID","✓"))))</f>
      </c>
    </row>
    <row r="90" spans="22:23" x14ac:dyDescent="0.25">
      <c r="V90" s="42">
        <f>IF($B90="","",SUM(L90:Q90)-SUM(R90:U90))</f>
      </c>
      <c r="W90" s="43">
        <f>IF($B90="","",IF(L90="","⚠ Basic salary missing",IF(SUM(R90:U90)&gt;SUM(L90:Q90),"⚠ Deductions exceed earnings",IF(COUNTIF($A$4:$A$1003,$A90)&gt;1,"⚠ Duplicate ID","✓"))))</f>
      </c>
    </row>
    <row r="91" spans="22:23" x14ac:dyDescent="0.25">
      <c r="V91" s="42">
        <f>IF($B91="","",SUM(L91:Q91)-SUM(R91:U91))</f>
      </c>
      <c r="W91" s="43">
        <f>IF($B91="","",IF(L91="","⚠ Basic salary missing",IF(SUM(R91:U91)&gt;SUM(L91:Q91),"⚠ Deductions exceed earnings",IF(COUNTIF($A$4:$A$1003,$A91)&gt;1,"⚠ Duplicate ID","✓"))))</f>
      </c>
    </row>
    <row r="92" spans="22:23" x14ac:dyDescent="0.25">
      <c r="V92" s="42">
        <f>IF($B92="","",SUM(L92:Q92)-SUM(R92:U92))</f>
      </c>
      <c r="W92" s="43">
        <f>IF($B92="","",IF(L92="","⚠ Basic salary missing",IF(SUM(R92:U92)&gt;SUM(L92:Q92),"⚠ Deductions exceed earnings",IF(COUNTIF($A$4:$A$1003,$A92)&gt;1,"⚠ Duplicate ID","✓"))))</f>
      </c>
    </row>
    <row r="93" spans="22:23" x14ac:dyDescent="0.25">
      <c r="V93" s="42">
        <f>IF($B93="","",SUM(L93:Q93)-SUM(R93:U93))</f>
      </c>
      <c r="W93" s="43">
        <f>IF($B93="","",IF(L93="","⚠ Basic salary missing",IF(SUM(R93:U93)&gt;SUM(L93:Q93),"⚠ Deductions exceed earnings",IF(COUNTIF($A$4:$A$1003,$A93)&gt;1,"⚠ Duplicate ID","✓"))))</f>
      </c>
    </row>
    <row r="94" spans="22:23" x14ac:dyDescent="0.25">
      <c r="V94" s="42">
        <f>IF($B94="","",SUM(L94:Q94)-SUM(R94:U94))</f>
      </c>
      <c r="W94" s="43">
        <f>IF($B94="","",IF(L94="","⚠ Basic salary missing",IF(SUM(R94:U94)&gt;SUM(L94:Q94),"⚠ Deductions exceed earnings",IF(COUNTIF($A$4:$A$1003,$A94)&gt;1,"⚠ Duplicate ID","✓"))))</f>
      </c>
    </row>
    <row r="95" spans="22:23" x14ac:dyDescent="0.25">
      <c r="V95" s="42">
        <f>IF($B95="","",SUM(L95:Q95)-SUM(R95:U95))</f>
      </c>
      <c r="W95" s="43">
        <f>IF($B95="","",IF(L95="","⚠ Basic salary missing",IF(SUM(R95:U95)&gt;SUM(L95:Q95),"⚠ Deductions exceed earnings",IF(COUNTIF($A$4:$A$1003,$A95)&gt;1,"⚠ Duplicate ID","✓"))))</f>
      </c>
    </row>
    <row r="96" spans="22:23" x14ac:dyDescent="0.25">
      <c r="V96" s="42">
        <f>IF($B96="","",SUM(L96:Q96)-SUM(R96:U96))</f>
      </c>
      <c r="W96" s="43">
        <f>IF($B96="","",IF(L96="","⚠ Basic salary missing",IF(SUM(R96:U96)&gt;SUM(L96:Q96),"⚠ Deductions exceed earnings",IF(COUNTIF($A$4:$A$1003,$A96)&gt;1,"⚠ Duplicate ID","✓"))))</f>
      </c>
    </row>
    <row r="97" spans="22:23" x14ac:dyDescent="0.25">
      <c r="V97" s="42">
        <f>IF($B97="","",SUM(L97:Q97)-SUM(R97:U97))</f>
      </c>
      <c r="W97" s="43">
        <f>IF($B97="","",IF(L97="","⚠ Basic salary missing",IF(SUM(R97:U97)&gt;SUM(L97:Q97),"⚠ Deductions exceed earnings",IF(COUNTIF($A$4:$A$1003,$A97)&gt;1,"⚠ Duplicate ID","✓"))))</f>
      </c>
    </row>
    <row r="98" spans="22:23" x14ac:dyDescent="0.25">
      <c r="V98" s="42">
        <f>IF($B98="","",SUM(L98:Q98)-SUM(R98:U98))</f>
      </c>
      <c r="W98" s="43">
        <f>IF($B98="","",IF(L98="","⚠ Basic salary missing",IF(SUM(R98:U98)&gt;SUM(L98:Q98),"⚠ Deductions exceed earnings",IF(COUNTIF($A$4:$A$1003,$A98)&gt;1,"⚠ Duplicate ID","✓"))))</f>
      </c>
    </row>
    <row r="99" spans="22:23" x14ac:dyDescent="0.25">
      <c r="V99" s="42">
        <f>IF($B99="","",SUM(L99:Q99)-SUM(R99:U99))</f>
      </c>
      <c r="W99" s="43">
        <f>IF($B99="","",IF(L99="","⚠ Basic salary missing",IF(SUM(R99:U99)&gt;SUM(L99:Q99),"⚠ Deductions exceed earnings",IF(COUNTIF($A$4:$A$1003,$A99)&gt;1,"⚠ Duplicate ID","✓"))))</f>
      </c>
    </row>
    <row r="100" spans="22:23" x14ac:dyDescent="0.25">
      <c r="V100" s="42">
        <f>IF($B100="","",SUM(L100:Q100)-SUM(R100:U100))</f>
      </c>
      <c r="W100" s="43">
        <f>IF($B100="","",IF(L100="","⚠ Basic salary missing",IF(SUM(R100:U100)&gt;SUM(L100:Q100),"⚠ Deductions exceed earnings",IF(COUNTIF($A$4:$A$1003,$A100)&gt;1,"⚠ Duplicate ID","✓"))))</f>
      </c>
    </row>
    <row r="101" spans="22:23" x14ac:dyDescent="0.25">
      <c r="V101" s="42">
        <f>IF($B101="","",SUM(L101:Q101)-SUM(R101:U101))</f>
      </c>
      <c r="W101" s="43">
        <f>IF($B101="","",IF(L101="","⚠ Basic salary missing",IF(SUM(R101:U101)&gt;SUM(L101:Q101),"⚠ Deductions exceed earnings",IF(COUNTIF($A$4:$A$1003,$A101)&gt;1,"⚠ Duplicate ID","✓"))))</f>
      </c>
    </row>
    <row r="102" spans="22:23" x14ac:dyDescent="0.25">
      <c r="V102" s="42">
        <f>IF($B102="","",SUM(L102:Q102)-SUM(R102:U102))</f>
      </c>
      <c r="W102" s="43">
        <f>IF($B102="","",IF(L102="","⚠ Basic salary missing",IF(SUM(R102:U102)&gt;SUM(L102:Q102),"⚠ Deductions exceed earnings",IF(COUNTIF($A$4:$A$1003,$A102)&gt;1,"⚠ Duplicate ID","✓"))))</f>
      </c>
    </row>
    <row r="103" spans="22:23" x14ac:dyDescent="0.25">
      <c r="V103" s="42">
        <f>IF($B103="","",SUM(L103:Q103)-SUM(R103:U103))</f>
      </c>
      <c r="W103" s="43">
        <f>IF($B103="","",IF(L103="","⚠ Basic salary missing",IF(SUM(R103:U103)&gt;SUM(L103:Q103),"⚠ Deductions exceed earnings",IF(COUNTIF($A$4:$A$1003,$A103)&gt;1,"⚠ Duplicate ID","✓"))))</f>
      </c>
    </row>
    <row r="104" spans="22:23" x14ac:dyDescent="0.25">
      <c r="V104" s="42">
        <f>IF($B104="","",SUM(L104:Q104)-SUM(R104:U104))</f>
      </c>
      <c r="W104" s="43">
        <f>IF($B104="","",IF(L104="","⚠ Basic salary missing",IF(SUM(R104:U104)&gt;SUM(L104:Q104),"⚠ Deductions exceed earnings",IF(COUNTIF($A$4:$A$1003,$A104)&gt;1,"⚠ Duplicate ID","✓"))))</f>
      </c>
    </row>
    <row r="105" spans="22:23" x14ac:dyDescent="0.25">
      <c r="V105" s="42">
        <f>IF($B105="","",SUM(L105:Q105)-SUM(R105:U105))</f>
      </c>
      <c r="W105" s="43">
        <f>IF($B105="","",IF(L105="","⚠ Basic salary missing",IF(SUM(R105:U105)&gt;SUM(L105:Q105),"⚠ Deductions exceed earnings",IF(COUNTIF($A$4:$A$1003,$A105)&gt;1,"⚠ Duplicate ID","✓"))))</f>
      </c>
    </row>
    <row r="106" spans="22:23" x14ac:dyDescent="0.25">
      <c r="V106" s="42">
        <f>IF($B106="","",SUM(L106:Q106)-SUM(R106:U106))</f>
      </c>
      <c r="W106" s="43">
        <f>IF($B106="","",IF(L106="","⚠ Basic salary missing",IF(SUM(R106:U106)&gt;SUM(L106:Q106),"⚠ Deductions exceed earnings",IF(COUNTIF($A$4:$A$1003,$A106)&gt;1,"⚠ Duplicate ID","✓"))))</f>
      </c>
    </row>
    <row r="107" spans="22:23" x14ac:dyDescent="0.25">
      <c r="V107" s="42">
        <f>IF($B107="","",SUM(L107:Q107)-SUM(R107:U107))</f>
      </c>
      <c r="W107" s="43">
        <f>IF($B107="","",IF(L107="","⚠ Basic salary missing",IF(SUM(R107:U107)&gt;SUM(L107:Q107),"⚠ Deductions exceed earnings",IF(COUNTIF($A$4:$A$1003,$A107)&gt;1,"⚠ Duplicate ID","✓"))))</f>
      </c>
    </row>
    <row r="108" spans="22:23" x14ac:dyDescent="0.25">
      <c r="V108" s="42">
        <f>IF($B108="","",SUM(L108:Q108)-SUM(R108:U108))</f>
      </c>
      <c r="W108" s="43">
        <f>IF($B108="","",IF(L108="","⚠ Basic salary missing",IF(SUM(R108:U108)&gt;SUM(L108:Q108),"⚠ Deductions exceed earnings",IF(COUNTIF($A$4:$A$1003,$A108)&gt;1,"⚠ Duplicate ID","✓"))))</f>
      </c>
    </row>
    <row r="109" spans="22:23" x14ac:dyDescent="0.25">
      <c r="V109" s="42">
        <f>IF($B109="","",SUM(L109:Q109)-SUM(R109:U109))</f>
      </c>
      <c r="W109" s="43">
        <f>IF($B109="","",IF(L109="","⚠ Basic salary missing",IF(SUM(R109:U109)&gt;SUM(L109:Q109),"⚠ Deductions exceed earnings",IF(COUNTIF($A$4:$A$1003,$A109)&gt;1,"⚠ Duplicate ID","✓"))))</f>
      </c>
    </row>
    <row r="110" spans="22:23" x14ac:dyDescent="0.25">
      <c r="V110" s="42">
        <f>IF($B110="","",SUM(L110:Q110)-SUM(R110:U110))</f>
      </c>
      <c r="W110" s="43">
        <f>IF($B110="","",IF(L110="","⚠ Basic salary missing",IF(SUM(R110:U110)&gt;SUM(L110:Q110),"⚠ Deductions exceed earnings",IF(COUNTIF($A$4:$A$1003,$A110)&gt;1,"⚠ Duplicate ID","✓"))))</f>
      </c>
    </row>
    <row r="111" spans="22:23" x14ac:dyDescent="0.25">
      <c r="V111" s="42">
        <f>IF($B111="","",SUM(L111:Q111)-SUM(R111:U111))</f>
      </c>
      <c r="W111" s="43">
        <f>IF($B111="","",IF(L111="","⚠ Basic salary missing",IF(SUM(R111:U111)&gt;SUM(L111:Q111),"⚠ Deductions exceed earnings",IF(COUNTIF($A$4:$A$1003,$A111)&gt;1,"⚠ Duplicate ID","✓"))))</f>
      </c>
    </row>
    <row r="112" spans="22:23" x14ac:dyDescent="0.25">
      <c r="V112" s="42">
        <f>IF($B112="","",SUM(L112:Q112)-SUM(R112:U112))</f>
      </c>
      <c r="W112" s="43">
        <f>IF($B112="","",IF(L112="","⚠ Basic salary missing",IF(SUM(R112:U112)&gt;SUM(L112:Q112),"⚠ Deductions exceed earnings",IF(COUNTIF($A$4:$A$1003,$A112)&gt;1,"⚠ Duplicate ID","✓"))))</f>
      </c>
    </row>
    <row r="113" spans="22:23" x14ac:dyDescent="0.25">
      <c r="V113" s="42">
        <f>IF($B113="","",SUM(L113:Q113)-SUM(R113:U113))</f>
      </c>
      <c r="W113" s="43">
        <f>IF($B113="","",IF(L113="","⚠ Basic salary missing",IF(SUM(R113:U113)&gt;SUM(L113:Q113),"⚠ Deductions exceed earnings",IF(COUNTIF($A$4:$A$1003,$A113)&gt;1,"⚠ Duplicate ID","✓"))))</f>
      </c>
    </row>
    <row r="114" spans="22:23" x14ac:dyDescent="0.25">
      <c r="V114" s="42">
        <f>IF($B114="","",SUM(L114:Q114)-SUM(R114:U114))</f>
      </c>
      <c r="W114" s="43">
        <f>IF($B114="","",IF(L114="","⚠ Basic salary missing",IF(SUM(R114:U114)&gt;SUM(L114:Q114),"⚠ Deductions exceed earnings",IF(COUNTIF($A$4:$A$1003,$A114)&gt;1,"⚠ Duplicate ID","✓"))))</f>
      </c>
    </row>
    <row r="115" spans="22:23" x14ac:dyDescent="0.25">
      <c r="V115" s="42">
        <f>IF($B115="","",SUM(L115:Q115)-SUM(R115:U115))</f>
      </c>
      <c r="W115" s="43">
        <f>IF($B115="","",IF(L115="","⚠ Basic salary missing",IF(SUM(R115:U115)&gt;SUM(L115:Q115),"⚠ Deductions exceed earnings",IF(COUNTIF($A$4:$A$1003,$A115)&gt;1,"⚠ Duplicate ID","✓"))))</f>
      </c>
    </row>
    <row r="116" spans="22:23" x14ac:dyDescent="0.25">
      <c r="V116" s="42">
        <f>IF($B116="","",SUM(L116:Q116)-SUM(R116:U116))</f>
      </c>
      <c r="W116" s="43">
        <f>IF($B116="","",IF(L116="","⚠ Basic salary missing",IF(SUM(R116:U116)&gt;SUM(L116:Q116),"⚠ Deductions exceed earnings",IF(COUNTIF($A$4:$A$1003,$A116)&gt;1,"⚠ Duplicate ID","✓"))))</f>
      </c>
    </row>
    <row r="117" spans="22:23" x14ac:dyDescent="0.25">
      <c r="V117" s="42">
        <f>IF($B117="","",SUM(L117:Q117)-SUM(R117:U117))</f>
      </c>
      <c r="W117" s="43">
        <f>IF($B117="","",IF(L117="","⚠ Basic salary missing",IF(SUM(R117:U117)&gt;SUM(L117:Q117),"⚠ Deductions exceed earnings",IF(COUNTIF($A$4:$A$1003,$A117)&gt;1,"⚠ Duplicate ID","✓"))))</f>
      </c>
    </row>
    <row r="118" spans="22:23" x14ac:dyDescent="0.25">
      <c r="V118" s="42">
        <f>IF($B118="","",SUM(L118:Q118)-SUM(R118:U118))</f>
      </c>
      <c r="W118" s="43">
        <f>IF($B118="","",IF(L118="","⚠ Basic salary missing",IF(SUM(R118:U118)&gt;SUM(L118:Q118),"⚠ Deductions exceed earnings",IF(COUNTIF($A$4:$A$1003,$A118)&gt;1,"⚠ Duplicate ID","✓"))))</f>
      </c>
    </row>
    <row r="119" spans="22:23" x14ac:dyDescent="0.25">
      <c r="V119" s="42">
        <f>IF($B119="","",SUM(L119:Q119)-SUM(R119:U119))</f>
      </c>
      <c r="W119" s="43">
        <f>IF($B119="","",IF(L119="","⚠ Basic salary missing",IF(SUM(R119:U119)&gt;SUM(L119:Q119),"⚠ Deductions exceed earnings",IF(COUNTIF($A$4:$A$1003,$A119)&gt;1,"⚠ Duplicate ID","✓"))))</f>
      </c>
    </row>
    <row r="120" spans="22:23" x14ac:dyDescent="0.25">
      <c r="V120" s="42">
        <f>IF($B120="","",SUM(L120:Q120)-SUM(R120:U120))</f>
      </c>
      <c r="W120" s="43">
        <f>IF($B120="","",IF(L120="","⚠ Basic salary missing",IF(SUM(R120:U120)&gt;SUM(L120:Q120),"⚠ Deductions exceed earnings",IF(COUNTIF($A$4:$A$1003,$A120)&gt;1,"⚠ Duplicate ID","✓"))))</f>
      </c>
    </row>
    <row r="121" spans="22:23" x14ac:dyDescent="0.25">
      <c r="V121" s="42">
        <f>IF($B121="","",SUM(L121:Q121)-SUM(R121:U121))</f>
      </c>
      <c r="W121" s="43">
        <f>IF($B121="","",IF(L121="","⚠ Basic salary missing",IF(SUM(R121:U121)&gt;SUM(L121:Q121),"⚠ Deductions exceed earnings",IF(COUNTIF($A$4:$A$1003,$A121)&gt;1,"⚠ Duplicate ID","✓"))))</f>
      </c>
    </row>
    <row r="122" spans="22:23" x14ac:dyDescent="0.25">
      <c r="V122" s="42">
        <f>IF($B122="","",SUM(L122:Q122)-SUM(R122:U122))</f>
      </c>
      <c r="W122" s="43">
        <f>IF($B122="","",IF(L122="","⚠ Basic salary missing",IF(SUM(R122:U122)&gt;SUM(L122:Q122),"⚠ Deductions exceed earnings",IF(COUNTIF($A$4:$A$1003,$A122)&gt;1,"⚠ Duplicate ID","✓"))))</f>
      </c>
    </row>
    <row r="123" spans="22:23" x14ac:dyDescent="0.25">
      <c r="V123" s="42">
        <f>IF($B123="","",SUM(L123:Q123)-SUM(R123:U123))</f>
      </c>
      <c r="W123" s="43">
        <f>IF($B123="","",IF(L123="","⚠ Basic salary missing",IF(SUM(R123:U123)&gt;SUM(L123:Q123),"⚠ Deductions exceed earnings",IF(COUNTIF($A$4:$A$1003,$A123)&gt;1,"⚠ Duplicate ID","✓"))))</f>
      </c>
    </row>
    <row r="124" spans="22:23" x14ac:dyDescent="0.25">
      <c r="V124" s="42">
        <f>IF($B124="","",SUM(L124:Q124)-SUM(R124:U124))</f>
      </c>
      <c r="W124" s="43">
        <f>IF($B124="","",IF(L124="","⚠ Basic salary missing",IF(SUM(R124:U124)&gt;SUM(L124:Q124),"⚠ Deductions exceed earnings",IF(COUNTIF($A$4:$A$1003,$A124)&gt;1,"⚠ Duplicate ID","✓"))))</f>
      </c>
    </row>
    <row r="125" spans="22:23" x14ac:dyDescent="0.25">
      <c r="V125" s="42">
        <f>IF($B125="","",SUM(L125:Q125)-SUM(R125:U125))</f>
      </c>
      <c r="W125" s="43">
        <f>IF($B125="","",IF(L125="","⚠ Basic salary missing",IF(SUM(R125:U125)&gt;SUM(L125:Q125),"⚠ Deductions exceed earnings",IF(COUNTIF($A$4:$A$1003,$A125)&gt;1,"⚠ Duplicate ID","✓"))))</f>
      </c>
    </row>
    <row r="126" spans="22:23" x14ac:dyDescent="0.25">
      <c r="V126" s="42">
        <f>IF($B126="","",SUM(L126:Q126)-SUM(R126:U126))</f>
      </c>
      <c r="W126" s="43">
        <f>IF($B126="","",IF(L126="","⚠ Basic salary missing",IF(SUM(R126:U126)&gt;SUM(L126:Q126),"⚠ Deductions exceed earnings",IF(COUNTIF($A$4:$A$1003,$A126)&gt;1,"⚠ Duplicate ID","✓"))))</f>
      </c>
    </row>
    <row r="127" spans="22:23" x14ac:dyDescent="0.25">
      <c r="V127" s="42">
        <f>IF($B127="","",SUM(L127:Q127)-SUM(R127:U127))</f>
      </c>
      <c r="W127" s="43">
        <f>IF($B127="","",IF(L127="","⚠ Basic salary missing",IF(SUM(R127:U127)&gt;SUM(L127:Q127),"⚠ Deductions exceed earnings",IF(COUNTIF($A$4:$A$1003,$A127)&gt;1,"⚠ Duplicate ID","✓"))))</f>
      </c>
    </row>
    <row r="128" spans="22:23" x14ac:dyDescent="0.25">
      <c r="V128" s="42">
        <f>IF($B128="","",SUM(L128:Q128)-SUM(R128:U128))</f>
      </c>
      <c r="W128" s="43">
        <f>IF($B128="","",IF(L128="","⚠ Basic salary missing",IF(SUM(R128:U128)&gt;SUM(L128:Q128),"⚠ Deductions exceed earnings",IF(COUNTIF($A$4:$A$1003,$A128)&gt;1,"⚠ Duplicate ID","✓"))))</f>
      </c>
    </row>
    <row r="129" spans="22:23" x14ac:dyDescent="0.25">
      <c r="V129" s="42">
        <f>IF($B129="","",SUM(L129:Q129)-SUM(R129:U129))</f>
      </c>
      <c r="W129" s="43">
        <f>IF($B129="","",IF(L129="","⚠ Basic salary missing",IF(SUM(R129:U129)&gt;SUM(L129:Q129),"⚠ Deductions exceed earnings",IF(COUNTIF($A$4:$A$1003,$A129)&gt;1,"⚠ Duplicate ID","✓"))))</f>
      </c>
    </row>
    <row r="130" spans="22:23" x14ac:dyDescent="0.25">
      <c r="V130" s="42">
        <f>IF($B130="","",SUM(L130:Q130)-SUM(R130:U130))</f>
      </c>
      <c r="W130" s="43">
        <f>IF($B130="","",IF(L130="","⚠ Basic salary missing",IF(SUM(R130:U130)&gt;SUM(L130:Q130),"⚠ Deductions exceed earnings",IF(COUNTIF($A$4:$A$1003,$A130)&gt;1,"⚠ Duplicate ID","✓"))))</f>
      </c>
    </row>
    <row r="131" spans="22:23" x14ac:dyDescent="0.25">
      <c r="V131" s="42">
        <f>IF($B131="","",SUM(L131:Q131)-SUM(R131:U131))</f>
      </c>
      <c r="W131" s="43">
        <f>IF($B131="","",IF(L131="","⚠ Basic salary missing",IF(SUM(R131:U131)&gt;SUM(L131:Q131),"⚠ Deductions exceed earnings",IF(COUNTIF($A$4:$A$1003,$A131)&gt;1,"⚠ Duplicate ID","✓"))))</f>
      </c>
    </row>
    <row r="132" spans="22:23" x14ac:dyDescent="0.25">
      <c r="V132" s="42">
        <f>IF($B132="","",SUM(L132:Q132)-SUM(R132:U132))</f>
      </c>
      <c r="W132" s="43">
        <f>IF($B132="","",IF(L132="","⚠ Basic salary missing",IF(SUM(R132:U132)&gt;SUM(L132:Q132),"⚠ Deductions exceed earnings",IF(COUNTIF($A$4:$A$1003,$A132)&gt;1,"⚠ Duplicate ID","✓"))))</f>
      </c>
    </row>
    <row r="133" spans="22:23" x14ac:dyDescent="0.25">
      <c r="V133" s="42">
        <f>IF($B133="","",SUM(L133:Q133)-SUM(R133:U133))</f>
      </c>
      <c r="W133" s="43">
        <f>IF($B133="","",IF(L133="","⚠ Basic salary missing",IF(SUM(R133:U133)&gt;SUM(L133:Q133),"⚠ Deductions exceed earnings",IF(COUNTIF($A$4:$A$1003,$A133)&gt;1,"⚠ Duplicate ID","✓"))))</f>
      </c>
    </row>
    <row r="134" spans="22:23" x14ac:dyDescent="0.25">
      <c r="V134" s="42">
        <f>IF($B134="","",SUM(L134:Q134)-SUM(R134:U134))</f>
      </c>
      <c r="W134" s="43">
        <f>IF($B134="","",IF(L134="","⚠ Basic salary missing",IF(SUM(R134:U134)&gt;SUM(L134:Q134),"⚠ Deductions exceed earnings",IF(COUNTIF($A$4:$A$1003,$A134)&gt;1,"⚠ Duplicate ID","✓"))))</f>
      </c>
    </row>
    <row r="135" spans="22:23" x14ac:dyDescent="0.25">
      <c r="V135" s="42">
        <f>IF($B135="","",SUM(L135:Q135)-SUM(R135:U135))</f>
      </c>
      <c r="W135" s="43">
        <f>IF($B135="","",IF(L135="","⚠ Basic salary missing",IF(SUM(R135:U135)&gt;SUM(L135:Q135),"⚠ Deductions exceed earnings",IF(COUNTIF($A$4:$A$1003,$A135)&gt;1,"⚠ Duplicate ID","✓"))))</f>
      </c>
    </row>
    <row r="136" spans="22:23" x14ac:dyDescent="0.25">
      <c r="V136" s="42">
        <f>IF($B136="","",SUM(L136:Q136)-SUM(R136:U136))</f>
      </c>
      <c r="W136" s="43">
        <f>IF($B136="","",IF(L136="","⚠ Basic salary missing",IF(SUM(R136:U136)&gt;SUM(L136:Q136),"⚠ Deductions exceed earnings",IF(COUNTIF($A$4:$A$1003,$A136)&gt;1,"⚠ Duplicate ID","✓"))))</f>
      </c>
    </row>
    <row r="137" spans="22:23" x14ac:dyDescent="0.25">
      <c r="V137" s="42">
        <f>IF($B137="","",SUM(L137:Q137)-SUM(R137:U137))</f>
      </c>
      <c r="W137" s="43">
        <f>IF($B137="","",IF(L137="","⚠ Basic salary missing",IF(SUM(R137:U137)&gt;SUM(L137:Q137),"⚠ Deductions exceed earnings",IF(COUNTIF($A$4:$A$1003,$A137)&gt;1,"⚠ Duplicate ID","✓"))))</f>
      </c>
    </row>
    <row r="138" spans="22:23" x14ac:dyDescent="0.25">
      <c r="V138" s="42">
        <f>IF($B138="","",SUM(L138:Q138)-SUM(R138:U138))</f>
      </c>
      <c r="W138" s="43">
        <f>IF($B138="","",IF(L138="","⚠ Basic salary missing",IF(SUM(R138:U138)&gt;SUM(L138:Q138),"⚠ Deductions exceed earnings",IF(COUNTIF($A$4:$A$1003,$A138)&gt;1,"⚠ Duplicate ID","✓"))))</f>
      </c>
    </row>
    <row r="139" spans="22:23" x14ac:dyDescent="0.25">
      <c r="V139" s="42">
        <f>IF($B139="","",SUM(L139:Q139)-SUM(R139:U139))</f>
      </c>
      <c r="W139" s="43">
        <f>IF($B139="","",IF(L139="","⚠ Basic salary missing",IF(SUM(R139:U139)&gt;SUM(L139:Q139),"⚠ Deductions exceed earnings",IF(COUNTIF($A$4:$A$1003,$A139)&gt;1,"⚠ Duplicate ID","✓"))))</f>
      </c>
    </row>
    <row r="140" spans="22:23" x14ac:dyDescent="0.25">
      <c r="V140" s="42">
        <f>IF($B140="","",SUM(L140:Q140)-SUM(R140:U140))</f>
      </c>
      <c r="W140" s="43">
        <f>IF($B140="","",IF(L140="","⚠ Basic salary missing",IF(SUM(R140:U140)&gt;SUM(L140:Q140),"⚠ Deductions exceed earnings",IF(COUNTIF($A$4:$A$1003,$A140)&gt;1,"⚠ Duplicate ID","✓"))))</f>
      </c>
    </row>
    <row r="141" spans="22:23" x14ac:dyDescent="0.25">
      <c r="V141" s="42">
        <f>IF($B141="","",SUM(L141:Q141)-SUM(R141:U141))</f>
      </c>
      <c r="W141" s="43">
        <f>IF($B141="","",IF(L141="","⚠ Basic salary missing",IF(SUM(R141:U141)&gt;SUM(L141:Q141),"⚠ Deductions exceed earnings",IF(COUNTIF($A$4:$A$1003,$A141)&gt;1,"⚠ Duplicate ID","✓"))))</f>
      </c>
    </row>
    <row r="142" spans="22:23" x14ac:dyDescent="0.25">
      <c r="V142" s="42">
        <f>IF($B142="","",SUM(L142:Q142)-SUM(R142:U142))</f>
      </c>
      <c r="W142" s="43">
        <f>IF($B142="","",IF(L142="","⚠ Basic salary missing",IF(SUM(R142:U142)&gt;SUM(L142:Q142),"⚠ Deductions exceed earnings",IF(COUNTIF($A$4:$A$1003,$A142)&gt;1,"⚠ Duplicate ID","✓"))))</f>
      </c>
    </row>
    <row r="143" spans="22:23" x14ac:dyDescent="0.25">
      <c r="V143" s="42">
        <f>IF($B143="","",SUM(L143:Q143)-SUM(R143:U143))</f>
      </c>
      <c r="W143" s="43">
        <f>IF($B143="","",IF(L143="","⚠ Basic salary missing",IF(SUM(R143:U143)&gt;SUM(L143:Q143),"⚠ Deductions exceed earnings",IF(COUNTIF($A$4:$A$1003,$A143)&gt;1,"⚠ Duplicate ID","✓"))))</f>
      </c>
    </row>
    <row r="144" spans="22:23" x14ac:dyDescent="0.25">
      <c r="V144" s="42">
        <f>IF($B144="","",SUM(L144:Q144)-SUM(R144:U144))</f>
      </c>
      <c r="W144" s="43">
        <f>IF($B144="","",IF(L144="","⚠ Basic salary missing",IF(SUM(R144:U144)&gt;SUM(L144:Q144),"⚠ Deductions exceed earnings",IF(COUNTIF($A$4:$A$1003,$A144)&gt;1,"⚠ Duplicate ID","✓"))))</f>
      </c>
    </row>
    <row r="145" spans="22:23" x14ac:dyDescent="0.25">
      <c r="V145" s="42">
        <f>IF($B145="","",SUM(L145:Q145)-SUM(R145:U145))</f>
      </c>
      <c r="W145" s="43">
        <f>IF($B145="","",IF(L145="","⚠ Basic salary missing",IF(SUM(R145:U145)&gt;SUM(L145:Q145),"⚠ Deductions exceed earnings",IF(COUNTIF($A$4:$A$1003,$A145)&gt;1,"⚠ Duplicate ID","✓"))))</f>
      </c>
    </row>
    <row r="146" spans="22:23" x14ac:dyDescent="0.25">
      <c r="V146" s="42">
        <f>IF($B146="","",SUM(L146:Q146)-SUM(R146:U146))</f>
      </c>
      <c r="W146" s="43">
        <f>IF($B146="","",IF(L146="","⚠ Basic salary missing",IF(SUM(R146:U146)&gt;SUM(L146:Q146),"⚠ Deductions exceed earnings",IF(COUNTIF($A$4:$A$1003,$A146)&gt;1,"⚠ Duplicate ID","✓"))))</f>
      </c>
    </row>
    <row r="147" spans="22:23" x14ac:dyDescent="0.25">
      <c r="V147" s="42">
        <f>IF($B147="","",SUM(L147:Q147)-SUM(R147:U147))</f>
      </c>
      <c r="W147" s="43">
        <f>IF($B147="","",IF(L147="","⚠ Basic salary missing",IF(SUM(R147:U147)&gt;SUM(L147:Q147),"⚠ Deductions exceed earnings",IF(COUNTIF($A$4:$A$1003,$A147)&gt;1,"⚠ Duplicate ID","✓"))))</f>
      </c>
    </row>
    <row r="148" spans="22:23" x14ac:dyDescent="0.25">
      <c r="V148" s="42">
        <f>IF($B148="","",SUM(L148:Q148)-SUM(R148:U148))</f>
      </c>
      <c r="W148" s="43">
        <f>IF($B148="","",IF(L148="","⚠ Basic salary missing",IF(SUM(R148:U148)&gt;SUM(L148:Q148),"⚠ Deductions exceed earnings",IF(COUNTIF($A$4:$A$1003,$A148)&gt;1,"⚠ Duplicate ID","✓"))))</f>
      </c>
    </row>
    <row r="149" spans="22:23" x14ac:dyDescent="0.25">
      <c r="V149" s="42">
        <f>IF($B149="","",SUM(L149:Q149)-SUM(R149:U149))</f>
      </c>
      <c r="W149" s="43">
        <f>IF($B149="","",IF(L149="","⚠ Basic salary missing",IF(SUM(R149:U149)&gt;SUM(L149:Q149),"⚠ Deductions exceed earnings",IF(COUNTIF($A$4:$A$1003,$A149)&gt;1,"⚠ Duplicate ID","✓"))))</f>
      </c>
    </row>
    <row r="150" spans="22:23" x14ac:dyDescent="0.25">
      <c r="V150" s="42">
        <f>IF($B150="","",SUM(L150:Q150)-SUM(R150:U150))</f>
      </c>
      <c r="W150" s="43">
        <f>IF($B150="","",IF(L150="","⚠ Basic salary missing",IF(SUM(R150:U150)&gt;SUM(L150:Q150),"⚠ Deductions exceed earnings",IF(COUNTIF($A$4:$A$1003,$A150)&gt;1,"⚠ Duplicate ID","✓"))))</f>
      </c>
    </row>
    <row r="151" spans="22:23" x14ac:dyDescent="0.25">
      <c r="V151" s="42">
        <f>IF($B151="","",SUM(L151:Q151)-SUM(R151:U151))</f>
      </c>
      <c r="W151" s="43">
        <f>IF($B151="","",IF(L151="","⚠ Basic salary missing",IF(SUM(R151:U151)&gt;SUM(L151:Q151),"⚠ Deductions exceed earnings",IF(COUNTIF($A$4:$A$1003,$A151)&gt;1,"⚠ Duplicate ID","✓"))))</f>
      </c>
    </row>
    <row r="152" spans="22:23" x14ac:dyDescent="0.25">
      <c r="V152" s="42">
        <f>IF($B152="","",SUM(L152:Q152)-SUM(R152:U152))</f>
      </c>
      <c r="W152" s="43">
        <f>IF($B152="","",IF(L152="","⚠ Basic salary missing",IF(SUM(R152:U152)&gt;SUM(L152:Q152),"⚠ Deductions exceed earnings",IF(COUNTIF($A$4:$A$1003,$A152)&gt;1,"⚠ Duplicate ID","✓"))))</f>
      </c>
    </row>
    <row r="153" spans="22:23" x14ac:dyDescent="0.25">
      <c r="V153" s="42">
        <f>IF($B153="","",SUM(L153:Q153)-SUM(R153:U153))</f>
      </c>
      <c r="W153" s="43">
        <f>IF($B153="","",IF(L153="","⚠ Basic salary missing",IF(SUM(R153:U153)&gt;SUM(L153:Q153),"⚠ Deductions exceed earnings",IF(COUNTIF($A$4:$A$1003,$A153)&gt;1,"⚠ Duplicate ID","✓"))))</f>
      </c>
    </row>
    <row r="154" spans="22:23" x14ac:dyDescent="0.25">
      <c r="V154" s="42">
        <f>IF($B154="","",SUM(L154:Q154)-SUM(R154:U154))</f>
      </c>
      <c r="W154" s="43">
        <f>IF($B154="","",IF(L154="","⚠ Basic salary missing",IF(SUM(R154:U154)&gt;SUM(L154:Q154),"⚠ Deductions exceed earnings",IF(COUNTIF($A$4:$A$1003,$A154)&gt;1,"⚠ Duplicate ID","✓"))))</f>
      </c>
    </row>
    <row r="155" spans="22:23" x14ac:dyDescent="0.25">
      <c r="V155" s="42">
        <f>IF($B155="","",SUM(L155:Q155)-SUM(R155:U155))</f>
      </c>
      <c r="W155" s="43">
        <f>IF($B155="","",IF(L155="","⚠ Basic salary missing",IF(SUM(R155:U155)&gt;SUM(L155:Q155),"⚠ Deductions exceed earnings",IF(COUNTIF($A$4:$A$1003,$A155)&gt;1,"⚠ Duplicate ID","✓"))))</f>
      </c>
    </row>
    <row r="156" spans="22:23" x14ac:dyDescent="0.25">
      <c r="V156" s="42">
        <f>IF($B156="","",SUM(L156:Q156)-SUM(R156:U156))</f>
      </c>
      <c r="W156" s="43">
        <f>IF($B156="","",IF(L156="","⚠ Basic salary missing",IF(SUM(R156:U156)&gt;SUM(L156:Q156),"⚠ Deductions exceed earnings",IF(COUNTIF($A$4:$A$1003,$A156)&gt;1,"⚠ Duplicate ID","✓"))))</f>
      </c>
    </row>
    <row r="157" spans="22:23" x14ac:dyDescent="0.25">
      <c r="V157" s="42">
        <f>IF($B157="","",SUM(L157:Q157)-SUM(R157:U157))</f>
      </c>
      <c r="W157" s="43">
        <f>IF($B157="","",IF(L157="","⚠ Basic salary missing",IF(SUM(R157:U157)&gt;SUM(L157:Q157),"⚠ Deductions exceed earnings",IF(COUNTIF($A$4:$A$1003,$A157)&gt;1,"⚠ Duplicate ID","✓"))))</f>
      </c>
    </row>
    <row r="158" spans="22:23" x14ac:dyDescent="0.25">
      <c r="V158" s="42">
        <f>IF($B158="","",SUM(L158:Q158)-SUM(R158:U158))</f>
      </c>
      <c r="W158" s="43">
        <f>IF($B158="","",IF(L158="","⚠ Basic salary missing",IF(SUM(R158:U158)&gt;SUM(L158:Q158),"⚠ Deductions exceed earnings",IF(COUNTIF($A$4:$A$1003,$A158)&gt;1,"⚠ Duplicate ID","✓"))))</f>
      </c>
    </row>
    <row r="159" spans="22:23" x14ac:dyDescent="0.25">
      <c r="V159" s="42">
        <f>IF($B159="","",SUM(L159:Q159)-SUM(R159:U159))</f>
      </c>
      <c r="W159" s="43">
        <f>IF($B159="","",IF(L159="","⚠ Basic salary missing",IF(SUM(R159:U159)&gt;SUM(L159:Q159),"⚠ Deductions exceed earnings",IF(COUNTIF($A$4:$A$1003,$A159)&gt;1,"⚠ Duplicate ID","✓"))))</f>
      </c>
    </row>
    <row r="160" spans="22:23" x14ac:dyDescent="0.25">
      <c r="V160" s="42">
        <f>IF($B160="","",SUM(L160:Q160)-SUM(R160:U160))</f>
      </c>
      <c r="W160" s="43">
        <f>IF($B160="","",IF(L160="","⚠ Basic salary missing",IF(SUM(R160:U160)&gt;SUM(L160:Q160),"⚠ Deductions exceed earnings",IF(COUNTIF($A$4:$A$1003,$A160)&gt;1,"⚠ Duplicate ID","✓"))))</f>
      </c>
    </row>
    <row r="161" spans="22:23" x14ac:dyDescent="0.25">
      <c r="V161" s="42">
        <f>IF($B161="","",SUM(L161:Q161)-SUM(R161:U161))</f>
      </c>
      <c r="W161" s="43">
        <f>IF($B161="","",IF(L161="","⚠ Basic salary missing",IF(SUM(R161:U161)&gt;SUM(L161:Q161),"⚠ Deductions exceed earnings",IF(COUNTIF($A$4:$A$1003,$A161)&gt;1,"⚠ Duplicate ID","✓"))))</f>
      </c>
    </row>
    <row r="162" spans="22:23" x14ac:dyDescent="0.25">
      <c r="V162" s="42">
        <f>IF($B162="","",SUM(L162:Q162)-SUM(R162:U162))</f>
      </c>
      <c r="W162" s="43">
        <f>IF($B162="","",IF(L162="","⚠ Basic salary missing",IF(SUM(R162:U162)&gt;SUM(L162:Q162),"⚠ Deductions exceed earnings",IF(COUNTIF($A$4:$A$1003,$A162)&gt;1,"⚠ Duplicate ID","✓"))))</f>
      </c>
    </row>
    <row r="163" spans="22:23" x14ac:dyDescent="0.25">
      <c r="V163" s="42">
        <f>IF($B163="","",SUM(L163:Q163)-SUM(R163:U163))</f>
      </c>
      <c r="W163" s="43">
        <f>IF($B163="","",IF(L163="","⚠ Basic salary missing",IF(SUM(R163:U163)&gt;SUM(L163:Q163),"⚠ Deductions exceed earnings",IF(COUNTIF($A$4:$A$1003,$A163)&gt;1,"⚠ Duplicate ID","✓"))))</f>
      </c>
    </row>
    <row r="164" spans="22:23" x14ac:dyDescent="0.25">
      <c r="V164" s="42">
        <f>IF($B164="","",SUM(L164:Q164)-SUM(R164:U164))</f>
      </c>
      <c r="W164" s="43">
        <f>IF($B164="","",IF(L164="","⚠ Basic salary missing",IF(SUM(R164:U164)&gt;SUM(L164:Q164),"⚠ Deductions exceed earnings",IF(COUNTIF($A$4:$A$1003,$A164)&gt;1,"⚠ Duplicate ID","✓"))))</f>
      </c>
    </row>
    <row r="165" spans="22:23" x14ac:dyDescent="0.25">
      <c r="V165" s="42">
        <f>IF($B165="","",SUM(L165:Q165)-SUM(R165:U165))</f>
      </c>
      <c r="W165" s="43">
        <f>IF($B165="","",IF(L165="","⚠ Basic salary missing",IF(SUM(R165:U165)&gt;SUM(L165:Q165),"⚠ Deductions exceed earnings",IF(COUNTIF($A$4:$A$1003,$A165)&gt;1,"⚠ Duplicate ID","✓"))))</f>
      </c>
    </row>
    <row r="166" spans="22:23" x14ac:dyDescent="0.25">
      <c r="V166" s="42">
        <f>IF($B166="","",SUM(L166:Q166)-SUM(R166:U166))</f>
      </c>
      <c r="W166" s="43">
        <f>IF($B166="","",IF(L166="","⚠ Basic salary missing",IF(SUM(R166:U166)&gt;SUM(L166:Q166),"⚠ Deductions exceed earnings",IF(COUNTIF($A$4:$A$1003,$A166)&gt;1,"⚠ Duplicate ID","✓"))))</f>
      </c>
    </row>
    <row r="167" spans="22:23" x14ac:dyDescent="0.25">
      <c r="V167" s="42">
        <f>IF($B167="","",SUM(L167:Q167)-SUM(R167:U167))</f>
      </c>
      <c r="W167" s="43">
        <f>IF($B167="","",IF(L167="","⚠ Basic salary missing",IF(SUM(R167:U167)&gt;SUM(L167:Q167),"⚠ Deductions exceed earnings",IF(COUNTIF($A$4:$A$1003,$A167)&gt;1,"⚠ Duplicate ID","✓"))))</f>
      </c>
    </row>
    <row r="168" spans="22:23" x14ac:dyDescent="0.25">
      <c r="V168" s="42">
        <f>IF($B168="","",SUM(L168:Q168)-SUM(R168:U168))</f>
      </c>
      <c r="W168" s="43">
        <f>IF($B168="","",IF(L168="","⚠ Basic salary missing",IF(SUM(R168:U168)&gt;SUM(L168:Q168),"⚠ Deductions exceed earnings",IF(COUNTIF($A$4:$A$1003,$A168)&gt;1,"⚠ Duplicate ID","✓"))))</f>
      </c>
    </row>
    <row r="169" spans="22:23" x14ac:dyDescent="0.25">
      <c r="V169" s="42">
        <f>IF($B169="","",SUM(L169:Q169)-SUM(R169:U169))</f>
      </c>
      <c r="W169" s="43">
        <f>IF($B169="","",IF(L169="","⚠ Basic salary missing",IF(SUM(R169:U169)&gt;SUM(L169:Q169),"⚠ Deductions exceed earnings",IF(COUNTIF($A$4:$A$1003,$A169)&gt;1,"⚠ Duplicate ID","✓"))))</f>
      </c>
    </row>
    <row r="170" spans="22:23" x14ac:dyDescent="0.25">
      <c r="V170" s="42">
        <f>IF($B170="","",SUM(L170:Q170)-SUM(R170:U170))</f>
      </c>
      <c r="W170" s="43">
        <f>IF($B170="","",IF(L170="","⚠ Basic salary missing",IF(SUM(R170:U170)&gt;SUM(L170:Q170),"⚠ Deductions exceed earnings",IF(COUNTIF($A$4:$A$1003,$A170)&gt;1,"⚠ Duplicate ID","✓"))))</f>
      </c>
    </row>
    <row r="171" spans="22:23" x14ac:dyDescent="0.25">
      <c r="V171" s="42">
        <f>IF($B171="","",SUM(L171:Q171)-SUM(R171:U171))</f>
      </c>
      <c r="W171" s="43">
        <f>IF($B171="","",IF(L171="","⚠ Basic salary missing",IF(SUM(R171:U171)&gt;SUM(L171:Q171),"⚠ Deductions exceed earnings",IF(COUNTIF($A$4:$A$1003,$A171)&gt;1,"⚠ Duplicate ID","✓"))))</f>
      </c>
    </row>
    <row r="172" spans="22:23" x14ac:dyDescent="0.25">
      <c r="V172" s="42">
        <f>IF($B172="","",SUM(L172:Q172)-SUM(R172:U172))</f>
      </c>
      <c r="W172" s="43">
        <f>IF($B172="","",IF(L172="","⚠ Basic salary missing",IF(SUM(R172:U172)&gt;SUM(L172:Q172),"⚠ Deductions exceed earnings",IF(COUNTIF($A$4:$A$1003,$A172)&gt;1,"⚠ Duplicate ID","✓"))))</f>
      </c>
    </row>
    <row r="173" spans="22:23" x14ac:dyDescent="0.25">
      <c r="V173" s="42">
        <f>IF($B173="","",SUM(L173:Q173)-SUM(R173:U173))</f>
      </c>
      <c r="W173" s="43">
        <f>IF($B173="","",IF(L173="","⚠ Basic salary missing",IF(SUM(R173:U173)&gt;SUM(L173:Q173),"⚠ Deductions exceed earnings",IF(COUNTIF($A$4:$A$1003,$A173)&gt;1,"⚠ Duplicate ID","✓"))))</f>
      </c>
    </row>
    <row r="174" spans="22:23" x14ac:dyDescent="0.25">
      <c r="V174" s="42">
        <f>IF($B174="","",SUM(L174:Q174)-SUM(R174:U174))</f>
      </c>
      <c r="W174" s="43">
        <f>IF($B174="","",IF(L174="","⚠ Basic salary missing",IF(SUM(R174:U174)&gt;SUM(L174:Q174),"⚠ Deductions exceed earnings",IF(COUNTIF($A$4:$A$1003,$A174)&gt;1,"⚠ Duplicate ID","✓"))))</f>
      </c>
    </row>
    <row r="175" spans="22:23" x14ac:dyDescent="0.25">
      <c r="V175" s="42">
        <f>IF($B175="","",SUM(L175:Q175)-SUM(R175:U175))</f>
      </c>
      <c r="W175" s="43">
        <f>IF($B175="","",IF(L175="","⚠ Basic salary missing",IF(SUM(R175:U175)&gt;SUM(L175:Q175),"⚠ Deductions exceed earnings",IF(COUNTIF($A$4:$A$1003,$A175)&gt;1,"⚠ Duplicate ID","✓"))))</f>
      </c>
    </row>
    <row r="176" spans="22:23" x14ac:dyDescent="0.25">
      <c r="V176" s="42">
        <f>IF($B176="","",SUM(L176:Q176)-SUM(R176:U176))</f>
      </c>
      <c r="W176" s="43">
        <f>IF($B176="","",IF(L176="","⚠ Basic salary missing",IF(SUM(R176:U176)&gt;SUM(L176:Q176),"⚠ Deductions exceed earnings",IF(COUNTIF($A$4:$A$1003,$A176)&gt;1,"⚠ Duplicate ID","✓"))))</f>
      </c>
    </row>
    <row r="177" spans="22:23" x14ac:dyDescent="0.25">
      <c r="V177" s="42">
        <f>IF($B177="","",SUM(L177:Q177)-SUM(R177:U177))</f>
      </c>
      <c r="W177" s="43">
        <f>IF($B177="","",IF(L177="","⚠ Basic salary missing",IF(SUM(R177:U177)&gt;SUM(L177:Q177),"⚠ Deductions exceed earnings",IF(COUNTIF($A$4:$A$1003,$A177)&gt;1,"⚠ Duplicate ID","✓"))))</f>
      </c>
    </row>
    <row r="178" spans="22:23" x14ac:dyDescent="0.25">
      <c r="V178" s="42">
        <f>IF($B178="","",SUM(L178:Q178)-SUM(R178:U178))</f>
      </c>
      <c r="W178" s="43">
        <f>IF($B178="","",IF(L178="","⚠ Basic salary missing",IF(SUM(R178:U178)&gt;SUM(L178:Q178),"⚠ Deductions exceed earnings",IF(COUNTIF($A$4:$A$1003,$A178)&gt;1,"⚠ Duplicate ID","✓"))))</f>
      </c>
    </row>
    <row r="179" spans="22:23" x14ac:dyDescent="0.25">
      <c r="V179" s="42">
        <f>IF($B179="","",SUM(L179:Q179)-SUM(R179:U179))</f>
      </c>
      <c r="W179" s="43">
        <f>IF($B179="","",IF(L179="","⚠ Basic salary missing",IF(SUM(R179:U179)&gt;SUM(L179:Q179),"⚠ Deductions exceed earnings",IF(COUNTIF($A$4:$A$1003,$A179)&gt;1,"⚠ Duplicate ID","✓"))))</f>
      </c>
    </row>
    <row r="180" spans="22:23" x14ac:dyDescent="0.25">
      <c r="V180" s="42">
        <f>IF($B180="","",SUM(L180:Q180)-SUM(R180:U180))</f>
      </c>
      <c r="W180" s="43">
        <f>IF($B180="","",IF(L180="","⚠ Basic salary missing",IF(SUM(R180:U180)&gt;SUM(L180:Q180),"⚠ Deductions exceed earnings",IF(COUNTIF($A$4:$A$1003,$A180)&gt;1,"⚠ Duplicate ID","✓"))))</f>
      </c>
    </row>
    <row r="181" spans="22:23" x14ac:dyDescent="0.25">
      <c r="V181" s="42">
        <f>IF($B181="","",SUM(L181:Q181)-SUM(R181:U181))</f>
      </c>
      <c r="W181" s="43">
        <f>IF($B181="","",IF(L181="","⚠ Basic salary missing",IF(SUM(R181:U181)&gt;SUM(L181:Q181),"⚠ Deductions exceed earnings",IF(COUNTIF($A$4:$A$1003,$A181)&gt;1,"⚠ Duplicate ID","✓"))))</f>
      </c>
    </row>
    <row r="182" spans="22:23" x14ac:dyDescent="0.25">
      <c r="V182" s="42">
        <f>IF($B182="","",SUM(L182:Q182)-SUM(R182:U182))</f>
      </c>
      <c r="W182" s="43">
        <f>IF($B182="","",IF(L182="","⚠ Basic salary missing",IF(SUM(R182:U182)&gt;SUM(L182:Q182),"⚠ Deductions exceed earnings",IF(COUNTIF($A$4:$A$1003,$A182)&gt;1,"⚠ Duplicate ID","✓"))))</f>
      </c>
    </row>
    <row r="183" spans="22:23" x14ac:dyDescent="0.25">
      <c r="V183" s="42">
        <f>IF($B183="","",SUM(L183:Q183)-SUM(R183:U183))</f>
      </c>
      <c r="W183" s="43">
        <f>IF($B183="","",IF(L183="","⚠ Basic salary missing",IF(SUM(R183:U183)&gt;SUM(L183:Q183),"⚠ Deductions exceed earnings",IF(COUNTIF($A$4:$A$1003,$A183)&gt;1,"⚠ Duplicate ID","✓"))))</f>
      </c>
    </row>
    <row r="184" spans="22:23" x14ac:dyDescent="0.25">
      <c r="V184" s="42">
        <f>IF($B184="","",SUM(L184:Q184)-SUM(R184:U184))</f>
      </c>
      <c r="W184" s="43">
        <f>IF($B184="","",IF(L184="","⚠ Basic salary missing",IF(SUM(R184:U184)&gt;SUM(L184:Q184),"⚠ Deductions exceed earnings",IF(COUNTIF($A$4:$A$1003,$A184)&gt;1,"⚠ Duplicate ID","✓"))))</f>
      </c>
    </row>
    <row r="185" spans="22:23" x14ac:dyDescent="0.25">
      <c r="V185" s="42">
        <f>IF($B185="","",SUM(L185:Q185)-SUM(R185:U185))</f>
      </c>
      <c r="W185" s="43">
        <f>IF($B185="","",IF(L185="","⚠ Basic salary missing",IF(SUM(R185:U185)&gt;SUM(L185:Q185),"⚠ Deductions exceed earnings",IF(COUNTIF($A$4:$A$1003,$A185)&gt;1,"⚠ Duplicate ID","✓"))))</f>
      </c>
    </row>
    <row r="186" spans="22:23" x14ac:dyDescent="0.25">
      <c r="V186" s="42">
        <f>IF($B186="","",SUM(L186:Q186)-SUM(R186:U186))</f>
      </c>
      <c r="W186" s="43">
        <f>IF($B186="","",IF(L186="","⚠ Basic salary missing",IF(SUM(R186:U186)&gt;SUM(L186:Q186),"⚠ Deductions exceed earnings",IF(COUNTIF($A$4:$A$1003,$A186)&gt;1,"⚠ Duplicate ID","✓"))))</f>
      </c>
    </row>
    <row r="187" spans="22:23" x14ac:dyDescent="0.25">
      <c r="V187" s="42">
        <f>IF($B187="","",SUM(L187:Q187)-SUM(R187:U187))</f>
      </c>
      <c r="W187" s="43">
        <f>IF($B187="","",IF(L187="","⚠ Basic salary missing",IF(SUM(R187:U187)&gt;SUM(L187:Q187),"⚠ Deductions exceed earnings",IF(COUNTIF($A$4:$A$1003,$A187)&gt;1,"⚠ Duplicate ID","✓"))))</f>
      </c>
    </row>
    <row r="188" spans="22:23" x14ac:dyDescent="0.25">
      <c r="V188" s="42">
        <f>IF($B188="","",SUM(L188:Q188)-SUM(R188:U188))</f>
      </c>
      <c r="W188" s="43">
        <f>IF($B188="","",IF(L188="","⚠ Basic salary missing",IF(SUM(R188:U188)&gt;SUM(L188:Q188),"⚠ Deductions exceed earnings",IF(COUNTIF($A$4:$A$1003,$A188)&gt;1,"⚠ Duplicate ID","✓"))))</f>
      </c>
    </row>
    <row r="189" spans="22:23" x14ac:dyDescent="0.25">
      <c r="V189" s="42">
        <f>IF($B189="","",SUM(L189:Q189)-SUM(R189:U189))</f>
      </c>
      <c r="W189" s="43">
        <f>IF($B189="","",IF(L189="","⚠ Basic salary missing",IF(SUM(R189:U189)&gt;SUM(L189:Q189),"⚠ Deductions exceed earnings",IF(COUNTIF($A$4:$A$1003,$A189)&gt;1,"⚠ Duplicate ID","✓"))))</f>
      </c>
    </row>
    <row r="190" spans="22:23" x14ac:dyDescent="0.25">
      <c r="V190" s="42">
        <f>IF($B190="","",SUM(L190:Q190)-SUM(R190:U190))</f>
      </c>
      <c r="W190" s="43">
        <f>IF($B190="","",IF(L190="","⚠ Basic salary missing",IF(SUM(R190:U190)&gt;SUM(L190:Q190),"⚠ Deductions exceed earnings",IF(COUNTIF($A$4:$A$1003,$A190)&gt;1,"⚠ Duplicate ID","✓"))))</f>
      </c>
    </row>
    <row r="191" spans="22:23" x14ac:dyDescent="0.25">
      <c r="V191" s="42">
        <f>IF($B191="","",SUM(L191:Q191)-SUM(R191:U191))</f>
      </c>
      <c r="W191" s="43">
        <f>IF($B191="","",IF(L191="","⚠ Basic salary missing",IF(SUM(R191:U191)&gt;SUM(L191:Q191),"⚠ Deductions exceed earnings",IF(COUNTIF($A$4:$A$1003,$A191)&gt;1,"⚠ Duplicate ID","✓"))))</f>
      </c>
    </row>
    <row r="192" spans="22:23" x14ac:dyDescent="0.25">
      <c r="V192" s="42">
        <f>IF($B192="","",SUM(L192:Q192)-SUM(R192:U192))</f>
      </c>
      <c r="W192" s="43">
        <f>IF($B192="","",IF(L192="","⚠ Basic salary missing",IF(SUM(R192:U192)&gt;SUM(L192:Q192),"⚠ Deductions exceed earnings",IF(COUNTIF($A$4:$A$1003,$A192)&gt;1,"⚠ Duplicate ID","✓"))))</f>
      </c>
    </row>
    <row r="193" spans="22:23" x14ac:dyDescent="0.25">
      <c r="V193" s="42">
        <f>IF($B193="","",SUM(L193:Q193)-SUM(R193:U193))</f>
      </c>
      <c r="W193" s="43">
        <f>IF($B193="","",IF(L193="","⚠ Basic salary missing",IF(SUM(R193:U193)&gt;SUM(L193:Q193),"⚠ Deductions exceed earnings",IF(COUNTIF($A$4:$A$1003,$A193)&gt;1,"⚠ Duplicate ID","✓"))))</f>
      </c>
    </row>
    <row r="194" spans="22:23" x14ac:dyDescent="0.25">
      <c r="V194" s="42">
        <f>IF($B194="","",SUM(L194:Q194)-SUM(R194:U194))</f>
      </c>
      <c r="W194" s="43">
        <f>IF($B194="","",IF(L194="","⚠ Basic salary missing",IF(SUM(R194:U194)&gt;SUM(L194:Q194),"⚠ Deductions exceed earnings",IF(COUNTIF($A$4:$A$1003,$A194)&gt;1,"⚠ Duplicate ID","✓"))))</f>
      </c>
    </row>
    <row r="195" spans="22:23" x14ac:dyDescent="0.25">
      <c r="V195" s="42">
        <f>IF($B195="","",SUM(L195:Q195)-SUM(R195:U195))</f>
      </c>
      <c r="W195" s="43">
        <f>IF($B195="","",IF(L195="","⚠ Basic salary missing",IF(SUM(R195:U195)&gt;SUM(L195:Q195),"⚠ Deductions exceed earnings",IF(COUNTIF($A$4:$A$1003,$A195)&gt;1,"⚠ Duplicate ID","✓"))))</f>
      </c>
    </row>
    <row r="196" spans="22:23" x14ac:dyDescent="0.25">
      <c r="V196" s="42">
        <f>IF($B196="","",SUM(L196:Q196)-SUM(R196:U196))</f>
      </c>
      <c r="W196" s="43">
        <f>IF($B196="","",IF(L196="","⚠ Basic salary missing",IF(SUM(R196:U196)&gt;SUM(L196:Q196),"⚠ Deductions exceed earnings",IF(COUNTIF($A$4:$A$1003,$A196)&gt;1,"⚠ Duplicate ID","✓"))))</f>
      </c>
    </row>
    <row r="197" spans="22:23" x14ac:dyDescent="0.25">
      <c r="V197" s="42">
        <f>IF($B197="","",SUM(L197:Q197)-SUM(R197:U197))</f>
      </c>
      <c r="W197" s="43">
        <f>IF($B197="","",IF(L197="","⚠ Basic salary missing",IF(SUM(R197:U197)&gt;SUM(L197:Q197),"⚠ Deductions exceed earnings",IF(COUNTIF($A$4:$A$1003,$A197)&gt;1,"⚠ Duplicate ID","✓"))))</f>
      </c>
    </row>
    <row r="198" spans="22:23" x14ac:dyDescent="0.25">
      <c r="V198" s="42">
        <f>IF($B198="","",SUM(L198:Q198)-SUM(R198:U198))</f>
      </c>
      <c r="W198" s="43">
        <f>IF($B198="","",IF(L198="","⚠ Basic salary missing",IF(SUM(R198:U198)&gt;SUM(L198:Q198),"⚠ Deductions exceed earnings",IF(COUNTIF($A$4:$A$1003,$A198)&gt;1,"⚠ Duplicate ID","✓"))))</f>
      </c>
    </row>
    <row r="199" spans="22:23" x14ac:dyDescent="0.25">
      <c r="V199" s="42">
        <f>IF($B199="","",SUM(L199:Q199)-SUM(R199:U199))</f>
      </c>
      <c r="W199" s="43">
        <f>IF($B199="","",IF(L199="","⚠ Basic salary missing",IF(SUM(R199:U199)&gt;SUM(L199:Q199),"⚠ Deductions exceed earnings",IF(COUNTIF($A$4:$A$1003,$A199)&gt;1,"⚠ Duplicate ID","✓"))))</f>
      </c>
    </row>
    <row r="200" spans="22:23" x14ac:dyDescent="0.25">
      <c r="V200" s="42">
        <f>IF($B200="","",SUM(L200:Q200)-SUM(R200:U200))</f>
      </c>
      <c r="W200" s="43">
        <f>IF($B200="","",IF(L200="","⚠ Basic salary missing",IF(SUM(R200:U200)&gt;SUM(L200:Q200),"⚠ Deductions exceed earnings",IF(COUNTIF($A$4:$A$1003,$A200)&gt;1,"⚠ Duplicate ID","✓"))))</f>
      </c>
    </row>
    <row r="201" spans="22:23" x14ac:dyDescent="0.25">
      <c r="V201" s="42">
        <f>IF($B201="","",SUM(L201:Q201)-SUM(R201:U201))</f>
      </c>
      <c r="W201" s="43">
        <f>IF($B201="","",IF(L201="","⚠ Basic salary missing",IF(SUM(R201:U201)&gt;SUM(L201:Q201),"⚠ Deductions exceed earnings",IF(COUNTIF($A$4:$A$1003,$A201)&gt;1,"⚠ Duplicate ID","✓"))))</f>
      </c>
    </row>
    <row r="202" spans="22:23" x14ac:dyDescent="0.25">
      <c r="V202" s="42">
        <f>IF($B202="","",SUM(L202:Q202)-SUM(R202:U202))</f>
      </c>
      <c r="W202" s="43">
        <f>IF($B202="","",IF(L202="","⚠ Basic salary missing",IF(SUM(R202:U202)&gt;SUM(L202:Q202),"⚠ Deductions exceed earnings",IF(COUNTIF($A$4:$A$1003,$A202)&gt;1,"⚠ Duplicate ID","✓"))))</f>
      </c>
    </row>
    <row r="203" spans="22:23" x14ac:dyDescent="0.25">
      <c r="V203" s="42">
        <f>IF($B203="","",SUM(L203:Q203)-SUM(R203:U203))</f>
      </c>
      <c r="W203" s="43">
        <f>IF($B203="","",IF(L203="","⚠ Basic salary missing",IF(SUM(R203:U203)&gt;SUM(L203:Q203),"⚠ Deductions exceed earnings",IF(COUNTIF($A$4:$A$1003,$A203)&gt;1,"⚠ Duplicate ID","✓"))))</f>
      </c>
    </row>
    <row r="204" spans="22:23" x14ac:dyDescent="0.25">
      <c r="V204" s="42">
        <f>IF($B204="","",SUM(L204:Q204)-SUM(R204:U204))</f>
      </c>
      <c r="W204" s="43">
        <f>IF($B204="","",IF(L204="","⚠ Basic salary missing",IF(SUM(R204:U204)&gt;SUM(L204:Q204),"⚠ Deductions exceed earnings",IF(COUNTIF($A$4:$A$1003,$A204)&gt;1,"⚠ Duplicate ID","✓"))))</f>
      </c>
    </row>
    <row r="205" spans="22:23" x14ac:dyDescent="0.25">
      <c r="V205" s="42">
        <f>IF($B205="","",SUM(L205:Q205)-SUM(R205:U205))</f>
      </c>
      <c r="W205" s="43">
        <f>IF($B205="","",IF(L205="","⚠ Basic salary missing",IF(SUM(R205:U205)&gt;SUM(L205:Q205),"⚠ Deductions exceed earnings",IF(COUNTIF($A$4:$A$1003,$A205)&gt;1,"⚠ Duplicate ID","✓"))))</f>
      </c>
    </row>
    <row r="206" spans="22:23" x14ac:dyDescent="0.25">
      <c r="V206" s="42">
        <f>IF($B206="","",SUM(L206:Q206)-SUM(R206:U206))</f>
      </c>
      <c r="W206" s="43">
        <f>IF($B206="","",IF(L206="","⚠ Basic salary missing",IF(SUM(R206:U206)&gt;SUM(L206:Q206),"⚠ Deductions exceed earnings",IF(COUNTIF($A$4:$A$1003,$A206)&gt;1,"⚠ Duplicate ID","✓"))))</f>
      </c>
    </row>
    <row r="207" spans="22:23" x14ac:dyDescent="0.25">
      <c r="V207" s="42">
        <f>IF($B207="","",SUM(L207:Q207)-SUM(R207:U207))</f>
      </c>
      <c r="W207" s="43">
        <f>IF($B207="","",IF(L207="","⚠ Basic salary missing",IF(SUM(R207:U207)&gt;SUM(L207:Q207),"⚠ Deductions exceed earnings",IF(COUNTIF($A$4:$A$1003,$A207)&gt;1,"⚠ Duplicate ID","✓"))))</f>
      </c>
    </row>
    <row r="208" spans="22:23" x14ac:dyDescent="0.25">
      <c r="V208" s="42">
        <f>IF($B208="","",SUM(L208:Q208)-SUM(R208:U208))</f>
      </c>
      <c r="W208" s="43">
        <f>IF($B208="","",IF(L208="","⚠ Basic salary missing",IF(SUM(R208:U208)&gt;SUM(L208:Q208),"⚠ Deductions exceed earnings",IF(COUNTIF($A$4:$A$1003,$A208)&gt;1,"⚠ Duplicate ID","✓"))))</f>
      </c>
    </row>
    <row r="209" spans="22:23" x14ac:dyDescent="0.25">
      <c r="V209" s="42">
        <f>IF($B209="","",SUM(L209:Q209)-SUM(R209:U209))</f>
      </c>
      <c r="W209" s="43">
        <f>IF($B209="","",IF(L209="","⚠ Basic salary missing",IF(SUM(R209:U209)&gt;SUM(L209:Q209),"⚠ Deductions exceed earnings",IF(COUNTIF($A$4:$A$1003,$A209)&gt;1,"⚠ Duplicate ID","✓"))))</f>
      </c>
    </row>
    <row r="210" spans="22:23" x14ac:dyDescent="0.25">
      <c r="V210" s="42">
        <f>IF($B210="","",SUM(L210:Q210)-SUM(R210:U210))</f>
      </c>
      <c r="W210" s="43">
        <f>IF($B210="","",IF(L210="","⚠ Basic salary missing",IF(SUM(R210:U210)&gt;SUM(L210:Q210),"⚠ Deductions exceed earnings",IF(COUNTIF($A$4:$A$1003,$A210)&gt;1,"⚠ Duplicate ID","✓"))))</f>
      </c>
    </row>
    <row r="211" spans="22:23" x14ac:dyDescent="0.25">
      <c r="V211" s="42">
        <f>IF($B211="","",SUM(L211:Q211)-SUM(R211:U211))</f>
      </c>
      <c r="W211" s="43">
        <f>IF($B211="","",IF(L211="","⚠ Basic salary missing",IF(SUM(R211:U211)&gt;SUM(L211:Q211),"⚠ Deductions exceed earnings",IF(COUNTIF($A$4:$A$1003,$A211)&gt;1,"⚠ Duplicate ID","✓"))))</f>
      </c>
    </row>
    <row r="212" spans="22:23" x14ac:dyDescent="0.25">
      <c r="V212" s="42">
        <f>IF($B212="","",SUM(L212:Q212)-SUM(R212:U212))</f>
      </c>
      <c r="W212" s="43">
        <f>IF($B212="","",IF(L212="","⚠ Basic salary missing",IF(SUM(R212:U212)&gt;SUM(L212:Q212),"⚠ Deductions exceed earnings",IF(COUNTIF($A$4:$A$1003,$A212)&gt;1,"⚠ Duplicate ID","✓"))))</f>
      </c>
    </row>
    <row r="213" spans="22:23" x14ac:dyDescent="0.25">
      <c r="V213" s="42">
        <f>IF($B213="","",SUM(L213:Q213)-SUM(R213:U213))</f>
      </c>
      <c r="W213" s="43">
        <f>IF($B213="","",IF(L213="","⚠ Basic salary missing",IF(SUM(R213:U213)&gt;SUM(L213:Q213),"⚠ Deductions exceed earnings",IF(COUNTIF($A$4:$A$1003,$A213)&gt;1,"⚠ Duplicate ID","✓"))))</f>
      </c>
    </row>
    <row r="214" spans="22:23" x14ac:dyDescent="0.25">
      <c r="V214" s="42">
        <f>IF($B214="","",SUM(L214:Q214)-SUM(R214:U214))</f>
      </c>
      <c r="W214" s="43">
        <f>IF($B214="","",IF(L214="","⚠ Basic salary missing",IF(SUM(R214:U214)&gt;SUM(L214:Q214),"⚠ Deductions exceed earnings",IF(COUNTIF($A$4:$A$1003,$A214)&gt;1,"⚠ Duplicate ID","✓"))))</f>
      </c>
    </row>
    <row r="215" spans="22:23" x14ac:dyDescent="0.25">
      <c r="V215" s="42">
        <f>IF($B215="","",SUM(L215:Q215)-SUM(R215:U215))</f>
      </c>
      <c r="W215" s="43">
        <f>IF($B215="","",IF(L215="","⚠ Basic salary missing",IF(SUM(R215:U215)&gt;SUM(L215:Q215),"⚠ Deductions exceed earnings",IF(COUNTIF($A$4:$A$1003,$A215)&gt;1,"⚠ Duplicate ID","✓"))))</f>
      </c>
    </row>
    <row r="216" spans="22:23" x14ac:dyDescent="0.25">
      <c r="V216" s="42">
        <f>IF($B216="","",SUM(L216:Q216)-SUM(R216:U216))</f>
      </c>
      <c r="W216" s="43">
        <f>IF($B216="","",IF(L216="","⚠ Basic salary missing",IF(SUM(R216:U216)&gt;SUM(L216:Q216),"⚠ Deductions exceed earnings",IF(COUNTIF($A$4:$A$1003,$A216)&gt;1,"⚠ Duplicate ID","✓"))))</f>
      </c>
    </row>
    <row r="217" spans="22:23" x14ac:dyDescent="0.25">
      <c r="V217" s="42">
        <f>IF($B217="","",SUM(L217:Q217)-SUM(R217:U217))</f>
      </c>
      <c r="W217" s="43">
        <f>IF($B217="","",IF(L217="","⚠ Basic salary missing",IF(SUM(R217:U217)&gt;SUM(L217:Q217),"⚠ Deductions exceed earnings",IF(COUNTIF($A$4:$A$1003,$A217)&gt;1,"⚠ Duplicate ID","✓"))))</f>
      </c>
    </row>
    <row r="218" spans="22:23" x14ac:dyDescent="0.25">
      <c r="V218" s="42">
        <f>IF($B218="","",SUM(L218:Q218)-SUM(R218:U218))</f>
      </c>
      <c r="W218" s="43">
        <f>IF($B218="","",IF(L218="","⚠ Basic salary missing",IF(SUM(R218:U218)&gt;SUM(L218:Q218),"⚠ Deductions exceed earnings",IF(COUNTIF($A$4:$A$1003,$A218)&gt;1,"⚠ Duplicate ID","✓"))))</f>
      </c>
    </row>
    <row r="219" spans="22:23" x14ac:dyDescent="0.25">
      <c r="V219" s="42">
        <f>IF($B219="","",SUM(L219:Q219)-SUM(R219:U219))</f>
      </c>
      <c r="W219" s="43">
        <f>IF($B219="","",IF(L219="","⚠ Basic salary missing",IF(SUM(R219:U219)&gt;SUM(L219:Q219),"⚠ Deductions exceed earnings",IF(COUNTIF($A$4:$A$1003,$A219)&gt;1,"⚠ Duplicate ID","✓"))))</f>
      </c>
    </row>
    <row r="220" spans="22:23" x14ac:dyDescent="0.25">
      <c r="V220" s="42">
        <f>IF($B220="","",SUM(L220:Q220)-SUM(R220:U220))</f>
      </c>
      <c r="W220" s="43">
        <f>IF($B220="","",IF(L220="","⚠ Basic salary missing",IF(SUM(R220:U220)&gt;SUM(L220:Q220),"⚠ Deductions exceed earnings",IF(COUNTIF($A$4:$A$1003,$A220)&gt;1,"⚠ Duplicate ID","✓"))))</f>
      </c>
    </row>
    <row r="221" spans="22:23" x14ac:dyDescent="0.25">
      <c r="V221" s="42">
        <f>IF($B221="","",SUM(L221:Q221)-SUM(R221:U221))</f>
      </c>
      <c r="W221" s="43">
        <f>IF($B221="","",IF(L221="","⚠ Basic salary missing",IF(SUM(R221:U221)&gt;SUM(L221:Q221),"⚠ Deductions exceed earnings",IF(COUNTIF($A$4:$A$1003,$A221)&gt;1,"⚠ Duplicate ID","✓"))))</f>
      </c>
    </row>
    <row r="222" spans="22:23" x14ac:dyDescent="0.25">
      <c r="V222" s="42">
        <f>IF($B222="","",SUM(L222:Q222)-SUM(R222:U222))</f>
      </c>
      <c r="W222" s="43">
        <f>IF($B222="","",IF(L222="","⚠ Basic salary missing",IF(SUM(R222:U222)&gt;SUM(L222:Q222),"⚠ Deductions exceed earnings",IF(COUNTIF($A$4:$A$1003,$A222)&gt;1,"⚠ Duplicate ID","✓"))))</f>
      </c>
    </row>
    <row r="223" spans="22:23" x14ac:dyDescent="0.25">
      <c r="V223" s="42">
        <f>IF($B223="","",SUM(L223:Q223)-SUM(R223:U223))</f>
      </c>
      <c r="W223" s="43">
        <f>IF($B223="","",IF(L223="","⚠ Basic salary missing",IF(SUM(R223:U223)&gt;SUM(L223:Q223),"⚠ Deductions exceed earnings",IF(COUNTIF($A$4:$A$1003,$A223)&gt;1,"⚠ Duplicate ID","✓"))))</f>
      </c>
    </row>
    <row r="224" spans="22:23" x14ac:dyDescent="0.25">
      <c r="V224" s="42">
        <f>IF($B224="","",SUM(L224:Q224)-SUM(R224:U224))</f>
      </c>
      <c r="W224" s="43">
        <f>IF($B224="","",IF(L224="","⚠ Basic salary missing",IF(SUM(R224:U224)&gt;SUM(L224:Q224),"⚠ Deductions exceed earnings",IF(COUNTIF($A$4:$A$1003,$A224)&gt;1,"⚠ Duplicate ID","✓"))))</f>
      </c>
    </row>
    <row r="225" spans="22:23" x14ac:dyDescent="0.25">
      <c r="V225" s="42">
        <f>IF($B225="","",SUM(L225:Q225)-SUM(R225:U225))</f>
      </c>
      <c r="W225" s="43">
        <f>IF($B225="","",IF(L225="","⚠ Basic salary missing",IF(SUM(R225:U225)&gt;SUM(L225:Q225),"⚠ Deductions exceed earnings",IF(COUNTIF($A$4:$A$1003,$A225)&gt;1,"⚠ Duplicate ID","✓"))))</f>
      </c>
    </row>
    <row r="226" spans="22:23" x14ac:dyDescent="0.25">
      <c r="V226" s="42">
        <f>IF($B226="","",SUM(L226:Q226)-SUM(R226:U226))</f>
      </c>
      <c r="W226" s="43">
        <f>IF($B226="","",IF(L226="","⚠ Basic salary missing",IF(SUM(R226:U226)&gt;SUM(L226:Q226),"⚠ Deductions exceed earnings",IF(COUNTIF($A$4:$A$1003,$A226)&gt;1,"⚠ Duplicate ID","✓"))))</f>
      </c>
    </row>
    <row r="227" spans="22:23" x14ac:dyDescent="0.25">
      <c r="V227" s="42">
        <f>IF($B227="","",SUM(L227:Q227)-SUM(R227:U227))</f>
      </c>
      <c r="W227" s="43">
        <f>IF($B227="","",IF(L227="","⚠ Basic salary missing",IF(SUM(R227:U227)&gt;SUM(L227:Q227),"⚠ Deductions exceed earnings",IF(COUNTIF($A$4:$A$1003,$A227)&gt;1,"⚠ Duplicate ID","✓"))))</f>
      </c>
    </row>
    <row r="228" spans="22:23" x14ac:dyDescent="0.25">
      <c r="V228" s="42">
        <f>IF($B228="","",SUM(L228:Q228)-SUM(R228:U228))</f>
      </c>
      <c r="W228" s="43">
        <f>IF($B228="","",IF(L228="","⚠ Basic salary missing",IF(SUM(R228:U228)&gt;SUM(L228:Q228),"⚠ Deductions exceed earnings",IF(COUNTIF($A$4:$A$1003,$A228)&gt;1,"⚠ Duplicate ID","✓"))))</f>
      </c>
    </row>
    <row r="229" spans="22:23" x14ac:dyDescent="0.25">
      <c r="V229" s="42">
        <f>IF($B229="","",SUM(L229:Q229)-SUM(R229:U229))</f>
      </c>
      <c r="W229" s="43">
        <f>IF($B229="","",IF(L229="","⚠ Basic salary missing",IF(SUM(R229:U229)&gt;SUM(L229:Q229),"⚠ Deductions exceed earnings",IF(COUNTIF($A$4:$A$1003,$A229)&gt;1,"⚠ Duplicate ID","✓"))))</f>
      </c>
    </row>
    <row r="230" spans="22:23" x14ac:dyDescent="0.25">
      <c r="V230" s="42">
        <f>IF($B230="","",SUM(L230:Q230)-SUM(R230:U230))</f>
      </c>
      <c r="W230" s="43">
        <f>IF($B230="","",IF(L230="","⚠ Basic salary missing",IF(SUM(R230:U230)&gt;SUM(L230:Q230),"⚠ Deductions exceed earnings",IF(COUNTIF($A$4:$A$1003,$A230)&gt;1,"⚠ Duplicate ID","✓"))))</f>
      </c>
    </row>
    <row r="231" spans="22:23" x14ac:dyDescent="0.25">
      <c r="V231" s="42">
        <f>IF($B231="","",SUM(L231:Q231)-SUM(R231:U231))</f>
      </c>
      <c r="W231" s="43">
        <f>IF($B231="","",IF(L231="","⚠ Basic salary missing",IF(SUM(R231:U231)&gt;SUM(L231:Q231),"⚠ Deductions exceed earnings",IF(COUNTIF($A$4:$A$1003,$A231)&gt;1,"⚠ Duplicate ID","✓"))))</f>
      </c>
    </row>
    <row r="232" spans="22:23" x14ac:dyDescent="0.25">
      <c r="V232" s="42">
        <f>IF($B232="","",SUM(L232:Q232)-SUM(R232:U232))</f>
      </c>
      <c r="W232" s="43">
        <f>IF($B232="","",IF(L232="","⚠ Basic salary missing",IF(SUM(R232:U232)&gt;SUM(L232:Q232),"⚠ Deductions exceed earnings",IF(COUNTIF($A$4:$A$1003,$A232)&gt;1,"⚠ Duplicate ID","✓"))))</f>
      </c>
    </row>
    <row r="233" spans="22:23" x14ac:dyDescent="0.25">
      <c r="V233" s="42">
        <f>IF($B233="","",SUM(L233:Q233)-SUM(R233:U233))</f>
      </c>
      <c r="W233" s="43">
        <f>IF($B233="","",IF(L233="","⚠ Basic salary missing",IF(SUM(R233:U233)&gt;SUM(L233:Q233),"⚠ Deductions exceed earnings",IF(COUNTIF($A$4:$A$1003,$A233)&gt;1,"⚠ Duplicate ID","✓"))))</f>
      </c>
    </row>
    <row r="234" spans="22:23" x14ac:dyDescent="0.25">
      <c r="V234" s="42">
        <f>IF($B234="","",SUM(L234:Q234)-SUM(R234:U234))</f>
      </c>
      <c r="W234" s="43">
        <f>IF($B234="","",IF(L234="","⚠ Basic salary missing",IF(SUM(R234:U234)&gt;SUM(L234:Q234),"⚠ Deductions exceed earnings",IF(COUNTIF($A$4:$A$1003,$A234)&gt;1,"⚠ Duplicate ID","✓"))))</f>
      </c>
    </row>
    <row r="235" spans="22:23" x14ac:dyDescent="0.25">
      <c r="V235" s="42">
        <f>IF($B235="","",SUM(L235:Q235)-SUM(R235:U235))</f>
      </c>
      <c r="W235" s="43">
        <f>IF($B235="","",IF(L235="","⚠ Basic salary missing",IF(SUM(R235:U235)&gt;SUM(L235:Q235),"⚠ Deductions exceed earnings",IF(COUNTIF($A$4:$A$1003,$A235)&gt;1,"⚠ Duplicate ID","✓"))))</f>
      </c>
    </row>
    <row r="236" spans="22:23" x14ac:dyDescent="0.25">
      <c r="V236" s="42">
        <f>IF($B236="","",SUM(L236:Q236)-SUM(R236:U236))</f>
      </c>
      <c r="W236" s="43">
        <f>IF($B236="","",IF(L236="","⚠ Basic salary missing",IF(SUM(R236:U236)&gt;SUM(L236:Q236),"⚠ Deductions exceed earnings",IF(COUNTIF($A$4:$A$1003,$A236)&gt;1,"⚠ Duplicate ID","✓"))))</f>
      </c>
    </row>
    <row r="237" spans="22:23" x14ac:dyDescent="0.25">
      <c r="V237" s="42">
        <f>IF($B237="","",SUM(L237:Q237)-SUM(R237:U237))</f>
      </c>
      <c r="W237" s="43">
        <f>IF($B237="","",IF(L237="","⚠ Basic salary missing",IF(SUM(R237:U237)&gt;SUM(L237:Q237),"⚠ Deductions exceed earnings",IF(COUNTIF($A$4:$A$1003,$A237)&gt;1,"⚠ Duplicate ID","✓"))))</f>
      </c>
    </row>
    <row r="238" spans="22:23" x14ac:dyDescent="0.25">
      <c r="V238" s="42">
        <f>IF($B238="","",SUM(L238:Q238)-SUM(R238:U238))</f>
      </c>
      <c r="W238" s="43">
        <f>IF($B238="","",IF(L238="","⚠ Basic salary missing",IF(SUM(R238:U238)&gt;SUM(L238:Q238),"⚠ Deductions exceed earnings",IF(COUNTIF($A$4:$A$1003,$A238)&gt;1,"⚠ Duplicate ID","✓"))))</f>
      </c>
    </row>
    <row r="239" spans="22:23" x14ac:dyDescent="0.25">
      <c r="V239" s="42">
        <f>IF($B239="","",SUM(L239:Q239)-SUM(R239:U239))</f>
      </c>
      <c r="W239" s="43">
        <f>IF($B239="","",IF(L239="","⚠ Basic salary missing",IF(SUM(R239:U239)&gt;SUM(L239:Q239),"⚠ Deductions exceed earnings",IF(COUNTIF($A$4:$A$1003,$A239)&gt;1,"⚠ Duplicate ID","✓"))))</f>
      </c>
    </row>
    <row r="240" spans="22:23" x14ac:dyDescent="0.25">
      <c r="V240" s="42">
        <f>IF($B240="","",SUM(L240:Q240)-SUM(R240:U240))</f>
      </c>
      <c r="W240" s="43">
        <f>IF($B240="","",IF(L240="","⚠ Basic salary missing",IF(SUM(R240:U240)&gt;SUM(L240:Q240),"⚠ Deductions exceed earnings",IF(COUNTIF($A$4:$A$1003,$A240)&gt;1,"⚠ Duplicate ID","✓"))))</f>
      </c>
    </row>
    <row r="241" spans="22:23" x14ac:dyDescent="0.25">
      <c r="V241" s="42">
        <f>IF($B241="","",SUM(L241:Q241)-SUM(R241:U241))</f>
      </c>
      <c r="W241" s="43">
        <f>IF($B241="","",IF(L241="","⚠ Basic salary missing",IF(SUM(R241:U241)&gt;SUM(L241:Q241),"⚠ Deductions exceed earnings",IF(COUNTIF($A$4:$A$1003,$A241)&gt;1,"⚠ Duplicate ID","✓"))))</f>
      </c>
    </row>
    <row r="242" spans="22:23" x14ac:dyDescent="0.25">
      <c r="V242" s="42">
        <f>IF($B242="","",SUM(L242:Q242)-SUM(R242:U242))</f>
      </c>
      <c r="W242" s="43">
        <f>IF($B242="","",IF(L242="","⚠ Basic salary missing",IF(SUM(R242:U242)&gt;SUM(L242:Q242),"⚠ Deductions exceed earnings",IF(COUNTIF($A$4:$A$1003,$A242)&gt;1,"⚠ Duplicate ID","✓"))))</f>
      </c>
    </row>
    <row r="243" spans="22:23" x14ac:dyDescent="0.25">
      <c r="V243" s="42">
        <f>IF($B243="","",SUM(L243:Q243)-SUM(R243:U243))</f>
      </c>
      <c r="W243" s="43">
        <f>IF($B243="","",IF(L243="","⚠ Basic salary missing",IF(SUM(R243:U243)&gt;SUM(L243:Q243),"⚠ Deductions exceed earnings",IF(COUNTIF($A$4:$A$1003,$A243)&gt;1,"⚠ Duplicate ID","✓"))))</f>
      </c>
    </row>
    <row r="244" spans="22:23" x14ac:dyDescent="0.25">
      <c r="V244" s="42">
        <f>IF($B244="","",SUM(L244:Q244)-SUM(R244:U244))</f>
      </c>
      <c r="W244" s="43">
        <f>IF($B244="","",IF(L244="","⚠ Basic salary missing",IF(SUM(R244:U244)&gt;SUM(L244:Q244),"⚠ Deductions exceed earnings",IF(COUNTIF($A$4:$A$1003,$A244)&gt;1,"⚠ Duplicate ID","✓"))))</f>
      </c>
    </row>
    <row r="245" spans="22:23" x14ac:dyDescent="0.25">
      <c r="V245" s="42">
        <f>IF($B245="","",SUM(L245:Q245)-SUM(R245:U245))</f>
      </c>
      <c r="W245" s="43">
        <f>IF($B245="","",IF(L245="","⚠ Basic salary missing",IF(SUM(R245:U245)&gt;SUM(L245:Q245),"⚠ Deductions exceed earnings",IF(COUNTIF($A$4:$A$1003,$A245)&gt;1,"⚠ Duplicate ID","✓"))))</f>
      </c>
    </row>
    <row r="246" spans="22:23" x14ac:dyDescent="0.25">
      <c r="V246" s="42">
        <f>IF($B246="","",SUM(L246:Q246)-SUM(R246:U246))</f>
      </c>
      <c r="W246" s="43">
        <f>IF($B246="","",IF(L246="","⚠ Basic salary missing",IF(SUM(R246:U246)&gt;SUM(L246:Q246),"⚠ Deductions exceed earnings",IF(COUNTIF($A$4:$A$1003,$A246)&gt;1,"⚠ Duplicate ID","✓"))))</f>
      </c>
    </row>
    <row r="247" spans="22:23" x14ac:dyDescent="0.25">
      <c r="V247" s="42">
        <f>IF($B247="","",SUM(L247:Q247)-SUM(R247:U247))</f>
      </c>
      <c r="W247" s="43">
        <f>IF($B247="","",IF(L247="","⚠ Basic salary missing",IF(SUM(R247:U247)&gt;SUM(L247:Q247),"⚠ Deductions exceed earnings",IF(COUNTIF($A$4:$A$1003,$A247)&gt;1,"⚠ Duplicate ID","✓"))))</f>
      </c>
    </row>
    <row r="248" spans="22:23" x14ac:dyDescent="0.25">
      <c r="V248" s="42">
        <f>IF($B248="","",SUM(L248:Q248)-SUM(R248:U248))</f>
      </c>
      <c r="W248" s="43">
        <f>IF($B248="","",IF(L248="","⚠ Basic salary missing",IF(SUM(R248:U248)&gt;SUM(L248:Q248),"⚠ Deductions exceed earnings",IF(COUNTIF($A$4:$A$1003,$A248)&gt;1,"⚠ Duplicate ID","✓"))))</f>
      </c>
    </row>
    <row r="249" spans="22:23" x14ac:dyDescent="0.25">
      <c r="V249" s="42">
        <f>IF($B249="","",SUM(L249:Q249)-SUM(R249:U249))</f>
      </c>
      <c r="W249" s="43">
        <f>IF($B249="","",IF(L249="","⚠ Basic salary missing",IF(SUM(R249:U249)&gt;SUM(L249:Q249),"⚠ Deductions exceed earnings",IF(COUNTIF($A$4:$A$1003,$A249)&gt;1,"⚠ Duplicate ID","✓"))))</f>
      </c>
    </row>
    <row r="250" spans="22:23" x14ac:dyDescent="0.25">
      <c r="V250" s="42">
        <f>IF($B250="","",SUM(L250:Q250)-SUM(R250:U250))</f>
      </c>
      <c r="W250" s="43">
        <f>IF($B250="","",IF(L250="","⚠ Basic salary missing",IF(SUM(R250:U250)&gt;SUM(L250:Q250),"⚠ Deductions exceed earnings",IF(COUNTIF($A$4:$A$1003,$A250)&gt;1,"⚠ Duplicate ID","✓"))))</f>
      </c>
    </row>
    <row r="251" spans="22:23" x14ac:dyDescent="0.25">
      <c r="V251" s="42">
        <f>IF($B251="","",SUM(L251:Q251)-SUM(R251:U251))</f>
      </c>
      <c r="W251" s="43">
        <f>IF($B251="","",IF(L251="","⚠ Basic salary missing",IF(SUM(R251:U251)&gt;SUM(L251:Q251),"⚠ Deductions exceed earnings",IF(COUNTIF($A$4:$A$1003,$A251)&gt;1,"⚠ Duplicate ID","✓"))))</f>
      </c>
    </row>
    <row r="252" spans="22:23" x14ac:dyDescent="0.25">
      <c r="V252" s="42">
        <f>IF($B252="","",SUM(L252:Q252)-SUM(R252:U252))</f>
      </c>
      <c r="W252" s="43">
        <f>IF($B252="","",IF(L252="","⚠ Basic salary missing",IF(SUM(R252:U252)&gt;SUM(L252:Q252),"⚠ Deductions exceed earnings",IF(COUNTIF($A$4:$A$1003,$A252)&gt;1,"⚠ Duplicate ID","✓"))))</f>
      </c>
    </row>
    <row r="253" spans="22:23" x14ac:dyDescent="0.25">
      <c r="V253" s="42">
        <f>IF($B253="","",SUM(L253:Q253)-SUM(R253:U253))</f>
      </c>
      <c r="W253" s="43">
        <f>IF($B253="","",IF(L253="","⚠ Basic salary missing",IF(SUM(R253:U253)&gt;SUM(L253:Q253),"⚠ Deductions exceed earnings",IF(COUNTIF($A$4:$A$1003,$A253)&gt;1,"⚠ Duplicate ID","✓"))))</f>
      </c>
    </row>
    <row r="254" spans="22:23" x14ac:dyDescent="0.25">
      <c r="V254" s="42">
        <f>IF($B254="","",SUM(L254:Q254)-SUM(R254:U254))</f>
      </c>
      <c r="W254" s="43">
        <f>IF($B254="","",IF(L254="","⚠ Basic salary missing",IF(SUM(R254:U254)&gt;SUM(L254:Q254),"⚠ Deductions exceed earnings",IF(COUNTIF($A$4:$A$1003,$A254)&gt;1,"⚠ Duplicate ID","✓"))))</f>
      </c>
    </row>
    <row r="255" spans="22:23" x14ac:dyDescent="0.25">
      <c r="V255" s="42">
        <f>IF($B255="","",SUM(L255:Q255)-SUM(R255:U255))</f>
      </c>
      <c r="W255" s="43">
        <f>IF($B255="","",IF(L255="","⚠ Basic salary missing",IF(SUM(R255:U255)&gt;SUM(L255:Q255),"⚠ Deductions exceed earnings",IF(COUNTIF($A$4:$A$1003,$A255)&gt;1,"⚠ Duplicate ID","✓"))))</f>
      </c>
    </row>
    <row r="256" spans="22:23" x14ac:dyDescent="0.25">
      <c r="V256" s="42">
        <f>IF($B256="","",SUM(L256:Q256)-SUM(R256:U256))</f>
      </c>
      <c r="W256" s="43">
        <f>IF($B256="","",IF(L256="","⚠ Basic salary missing",IF(SUM(R256:U256)&gt;SUM(L256:Q256),"⚠ Deductions exceed earnings",IF(COUNTIF($A$4:$A$1003,$A256)&gt;1,"⚠ Duplicate ID","✓"))))</f>
      </c>
    </row>
    <row r="257" spans="22:23" x14ac:dyDescent="0.25">
      <c r="V257" s="42">
        <f>IF($B257="","",SUM(L257:Q257)-SUM(R257:U257))</f>
      </c>
      <c r="W257" s="43">
        <f>IF($B257="","",IF(L257="","⚠ Basic salary missing",IF(SUM(R257:U257)&gt;SUM(L257:Q257),"⚠ Deductions exceed earnings",IF(COUNTIF($A$4:$A$1003,$A257)&gt;1,"⚠ Duplicate ID","✓"))))</f>
      </c>
    </row>
    <row r="258" spans="22:23" x14ac:dyDescent="0.25">
      <c r="V258" s="42">
        <f>IF($B258="","",SUM(L258:Q258)-SUM(R258:U258))</f>
      </c>
      <c r="W258" s="43">
        <f>IF($B258="","",IF(L258="","⚠ Basic salary missing",IF(SUM(R258:U258)&gt;SUM(L258:Q258),"⚠ Deductions exceed earnings",IF(COUNTIF($A$4:$A$1003,$A258)&gt;1,"⚠ Duplicate ID","✓"))))</f>
      </c>
    </row>
    <row r="259" spans="22:23" x14ac:dyDescent="0.25">
      <c r="V259" s="42">
        <f>IF($B259="","",SUM(L259:Q259)-SUM(R259:U259))</f>
      </c>
      <c r="W259" s="43">
        <f>IF($B259="","",IF(L259="","⚠ Basic salary missing",IF(SUM(R259:U259)&gt;SUM(L259:Q259),"⚠ Deductions exceed earnings",IF(COUNTIF($A$4:$A$1003,$A259)&gt;1,"⚠ Duplicate ID","✓"))))</f>
      </c>
    </row>
    <row r="260" spans="22:23" x14ac:dyDescent="0.25">
      <c r="V260" s="42">
        <f>IF($B260="","",SUM(L260:Q260)-SUM(R260:U260))</f>
      </c>
      <c r="W260" s="43">
        <f>IF($B260="","",IF(L260="","⚠ Basic salary missing",IF(SUM(R260:U260)&gt;SUM(L260:Q260),"⚠ Deductions exceed earnings",IF(COUNTIF($A$4:$A$1003,$A260)&gt;1,"⚠ Duplicate ID","✓"))))</f>
      </c>
    </row>
    <row r="261" spans="22:23" x14ac:dyDescent="0.25">
      <c r="V261" s="42">
        <f>IF($B261="","",SUM(L261:Q261)-SUM(R261:U261))</f>
      </c>
      <c r="W261" s="43">
        <f>IF($B261="","",IF(L261="","⚠ Basic salary missing",IF(SUM(R261:U261)&gt;SUM(L261:Q261),"⚠ Deductions exceed earnings",IF(COUNTIF($A$4:$A$1003,$A261)&gt;1,"⚠ Duplicate ID","✓"))))</f>
      </c>
    </row>
    <row r="262" spans="22:23" x14ac:dyDescent="0.25">
      <c r="V262" s="42">
        <f>IF($B262="","",SUM(L262:Q262)-SUM(R262:U262))</f>
      </c>
      <c r="W262" s="43">
        <f>IF($B262="","",IF(L262="","⚠ Basic salary missing",IF(SUM(R262:U262)&gt;SUM(L262:Q262),"⚠ Deductions exceed earnings",IF(COUNTIF($A$4:$A$1003,$A262)&gt;1,"⚠ Duplicate ID","✓"))))</f>
      </c>
    </row>
    <row r="263" spans="22:23" x14ac:dyDescent="0.25">
      <c r="V263" s="42">
        <f>IF($B263="","",SUM(L263:Q263)-SUM(R263:U263))</f>
      </c>
      <c r="W263" s="43">
        <f>IF($B263="","",IF(L263="","⚠ Basic salary missing",IF(SUM(R263:U263)&gt;SUM(L263:Q263),"⚠ Deductions exceed earnings",IF(COUNTIF($A$4:$A$1003,$A263)&gt;1,"⚠ Duplicate ID","✓"))))</f>
      </c>
    </row>
    <row r="264" spans="22:23" x14ac:dyDescent="0.25">
      <c r="V264" s="42">
        <f>IF($B264="","",SUM(L264:Q264)-SUM(R264:U264))</f>
      </c>
      <c r="W264" s="43">
        <f>IF($B264="","",IF(L264="","⚠ Basic salary missing",IF(SUM(R264:U264)&gt;SUM(L264:Q264),"⚠ Deductions exceed earnings",IF(COUNTIF($A$4:$A$1003,$A264)&gt;1,"⚠ Duplicate ID","✓"))))</f>
      </c>
    </row>
    <row r="265" spans="22:23" x14ac:dyDescent="0.25">
      <c r="V265" s="42">
        <f>IF($B265="","",SUM(L265:Q265)-SUM(R265:U265))</f>
      </c>
      <c r="W265" s="43">
        <f>IF($B265="","",IF(L265="","⚠ Basic salary missing",IF(SUM(R265:U265)&gt;SUM(L265:Q265),"⚠ Deductions exceed earnings",IF(COUNTIF($A$4:$A$1003,$A265)&gt;1,"⚠ Duplicate ID","✓"))))</f>
      </c>
    </row>
    <row r="266" spans="22:23" x14ac:dyDescent="0.25">
      <c r="V266" s="42">
        <f>IF($B266="","",SUM(L266:Q266)-SUM(R266:U266))</f>
      </c>
      <c r="W266" s="43">
        <f>IF($B266="","",IF(L266="","⚠ Basic salary missing",IF(SUM(R266:U266)&gt;SUM(L266:Q266),"⚠ Deductions exceed earnings",IF(COUNTIF($A$4:$A$1003,$A266)&gt;1,"⚠ Duplicate ID","✓"))))</f>
      </c>
    </row>
    <row r="267" spans="22:23" x14ac:dyDescent="0.25">
      <c r="V267" s="42">
        <f>IF($B267="","",SUM(L267:Q267)-SUM(R267:U267))</f>
      </c>
      <c r="W267" s="43">
        <f>IF($B267="","",IF(L267="","⚠ Basic salary missing",IF(SUM(R267:U267)&gt;SUM(L267:Q267),"⚠ Deductions exceed earnings",IF(COUNTIF($A$4:$A$1003,$A267)&gt;1,"⚠ Duplicate ID","✓"))))</f>
      </c>
    </row>
    <row r="268" spans="22:23" x14ac:dyDescent="0.25">
      <c r="V268" s="42">
        <f>IF($B268="","",SUM(L268:Q268)-SUM(R268:U268))</f>
      </c>
      <c r="W268" s="43">
        <f>IF($B268="","",IF(L268="","⚠ Basic salary missing",IF(SUM(R268:U268)&gt;SUM(L268:Q268),"⚠ Deductions exceed earnings",IF(COUNTIF($A$4:$A$1003,$A268)&gt;1,"⚠ Duplicate ID","✓"))))</f>
      </c>
    </row>
    <row r="269" spans="22:23" x14ac:dyDescent="0.25">
      <c r="V269" s="42">
        <f>IF($B269="","",SUM(L269:Q269)-SUM(R269:U269))</f>
      </c>
      <c r="W269" s="43">
        <f>IF($B269="","",IF(L269="","⚠ Basic salary missing",IF(SUM(R269:U269)&gt;SUM(L269:Q269),"⚠ Deductions exceed earnings",IF(COUNTIF($A$4:$A$1003,$A269)&gt;1,"⚠ Duplicate ID","✓"))))</f>
      </c>
    </row>
    <row r="270" spans="22:23" x14ac:dyDescent="0.25">
      <c r="V270" s="42">
        <f>IF($B270="","",SUM(L270:Q270)-SUM(R270:U270))</f>
      </c>
      <c r="W270" s="43">
        <f>IF($B270="","",IF(L270="","⚠ Basic salary missing",IF(SUM(R270:U270)&gt;SUM(L270:Q270),"⚠ Deductions exceed earnings",IF(COUNTIF($A$4:$A$1003,$A270)&gt;1,"⚠ Duplicate ID","✓"))))</f>
      </c>
    </row>
    <row r="271" spans="22:23" x14ac:dyDescent="0.25">
      <c r="V271" s="42">
        <f>IF($B271="","",SUM(L271:Q271)-SUM(R271:U271))</f>
      </c>
      <c r="W271" s="43">
        <f>IF($B271="","",IF(L271="","⚠ Basic salary missing",IF(SUM(R271:U271)&gt;SUM(L271:Q271),"⚠ Deductions exceed earnings",IF(COUNTIF($A$4:$A$1003,$A271)&gt;1,"⚠ Duplicate ID","✓"))))</f>
      </c>
    </row>
    <row r="272" spans="22:23" x14ac:dyDescent="0.25">
      <c r="V272" s="42">
        <f>IF($B272="","",SUM(L272:Q272)-SUM(R272:U272))</f>
      </c>
      <c r="W272" s="43">
        <f>IF($B272="","",IF(L272="","⚠ Basic salary missing",IF(SUM(R272:U272)&gt;SUM(L272:Q272),"⚠ Deductions exceed earnings",IF(COUNTIF($A$4:$A$1003,$A272)&gt;1,"⚠ Duplicate ID","✓"))))</f>
      </c>
    </row>
    <row r="273" spans="22:23" x14ac:dyDescent="0.25">
      <c r="V273" s="42">
        <f>IF($B273="","",SUM(L273:Q273)-SUM(R273:U273))</f>
      </c>
      <c r="W273" s="43">
        <f>IF($B273="","",IF(L273="","⚠ Basic salary missing",IF(SUM(R273:U273)&gt;SUM(L273:Q273),"⚠ Deductions exceed earnings",IF(COUNTIF($A$4:$A$1003,$A273)&gt;1,"⚠ Duplicate ID","✓"))))</f>
      </c>
    </row>
    <row r="274" spans="22:23" x14ac:dyDescent="0.25">
      <c r="V274" s="42">
        <f>IF($B274="","",SUM(L274:Q274)-SUM(R274:U274))</f>
      </c>
      <c r="W274" s="43">
        <f>IF($B274="","",IF(L274="","⚠ Basic salary missing",IF(SUM(R274:U274)&gt;SUM(L274:Q274),"⚠ Deductions exceed earnings",IF(COUNTIF($A$4:$A$1003,$A274)&gt;1,"⚠ Duplicate ID","✓"))))</f>
      </c>
    </row>
    <row r="275" spans="22:23" x14ac:dyDescent="0.25">
      <c r="V275" s="42">
        <f>IF($B275="","",SUM(L275:Q275)-SUM(R275:U275))</f>
      </c>
      <c r="W275" s="43">
        <f>IF($B275="","",IF(L275="","⚠ Basic salary missing",IF(SUM(R275:U275)&gt;SUM(L275:Q275),"⚠ Deductions exceed earnings",IF(COUNTIF($A$4:$A$1003,$A275)&gt;1,"⚠ Duplicate ID","✓"))))</f>
      </c>
    </row>
    <row r="276" spans="22:23" x14ac:dyDescent="0.25">
      <c r="V276" s="42">
        <f>IF($B276="","",SUM(L276:Q276)-SUM(R276:U276))</f>
      </c>
      <c r="W276" s="43">
        <f>IF($B276="","",IF(L276="","⚠ Basic salary missing",IF(SUM(R276:U276)&gt;SUM(L276:Q276),"⚠ Deductions exceed earnings",IF(COUNTIF($A$4:$A$1003,$A276)&gt;1,"⚠ Duplicate ID","✓"))))</f>
      </c>
    </row>
    <row r="277" spans="22:23" x14ac:dyDescent="0.25">
      <c r="V277" s="42">
        <f>IF($B277="","",SUM(L277:Q277)-SUM(R277:U277))</f>
      </c>
      <c r="W277" s="43">
        <f>IF($B277="","",IF(L277="","⚠ Basic salary missing",IF(SUM(R277:U277)&gt;SUM(L277:Q277),"⚠ Deductions exceed earnings",IF(COUNTIF($A$4:$A$1003,$A277)&gt;1,"⚠ Duplicate ID","✓"))))</f>
      </c>
    </row>
    <row r="278" spans="22:23" x14ac:dyDescent="0.25">
      <c r="V278" s="42">
        <f>IF($B278="","",SUM(L278:Q278)-SUM(R278:U278))</f>
      </c>
      <c r="W278" s="43">
        <f>IF($B278="","",IF(L278="","⚠ Basic salary missing",IF(SUM(R278:U278)&gt;SUM(L278:Q278),"⚠ Deductions exceed earnings",IF(COUNTIF($A$4:$A$1003,$A278)&gt;1,"⚠ Duplicate ID","✓"))))</f>
      </c>
    </row>
    <row r="279" spans="22:23" x14ac:dyDescent="0.25">
      <c r="V279" s="42">
        <f>IF($B279="","",SUM(L279:Q279)-SUM(R279:U279))</f>
      </c>
      <c r="W279" s="43">
        <f>IF($B279="","",IF(L279="","⚠ Basic salary missing",IF(SUM(R279:U279)&gt;SUM(L279:Q279),"⚠ Deductions exceed earnings",IF(COUNTIF($A$4:$A$1003,$A279)&gt;1,"⚠ Duplicate ID","✓"))))</f>
      </c>
    </row>
    <row r="280" spans="22:23" x14ac:dyDescent="0.25">
      <c r="V280" s="42">
        <f>IF($B280="","",SUM(L280:Q280)-SUM(R280:U280))</f>
      </c>
      <c r="W280" s="43">
        <f>IF($B280="","",IF(L280="","⚠ Basic salary missing",IF(SUM(R280:U280)&gt;SUM(L280:Q280),"⚠ Deductions exceed earnings",IF(COUNTIF($A$4:$A$1003,$A280)&gt;1,"⚠ Duplicate ID","✓"))))</f>
      </c>
    </row>
    <row r="281" spans="22:23" x14ac:dyDescent="0.25">
      <c r="V281" s="42">
        <f>IF($B281="","",SUM(L281:Q281)-SUM(R281:U281))</f>
      </c>
      <c r="W281" s="43">
        <f>IF($B281="","",IF(L281="","⚠ Basic salary missing",IF(SUM(R281:U281)&gt;SUM(L281:Q281),"⚠ Deductions exceed earnings",IF(COUNTIF($A$4:$A$1003,$A281)&gt;1,"⚠ Duplicate ID","✓"))))</f>
      </c>
    </row>
    <row r="282" spans="22:23" x14ac:dyDescent="0.25">
      <c r="V282" s="42">
        <f>IF($B282="","",SUM(L282:Q282)-SUM(R282:U282))</f>
      </c>
      <c r="W282" s="43">
        <f>IF($B282="","",IF(L282="","⚠ Basic salary missing",IF(SUM(R282:U282)&gt;SUM(L282:Q282),"⚠ Deductions exceed earnings",IF(COUNTIF($A$4:$A$1003,$A282)&gt;1,"⚠ Duplicate ID","✓"))))</f>
      </c>
    </row>
    <row r="283" spans="22:23" x14ac:dyDescent="0.25">
      <c r="V283" s="42">
        <f>IF($B283="","",SUM(L283:Q283)-SUM(R283:U283))</f>
      </c>
      <c r="W283" s="43">
        <f>IF($B283="","",IF(L283="","⚠ Basic salary missing",IF(SUM(R283:U283)&gt;SUM(L283:Q283),"⚠ Deductions exceed earnings",IF(COUNTIF($A$4:$A$1003,$A283)&gt;1,"⚠ Duplicate ID","✓"))))</f>
      </c>
    </row>
    <row r="284" spans="22:23" x14ac:dyDescent="0.25">
      <c r="V284" s="42">
        <f>IF($B284="","",SUM(L284:Q284)-SUM(R284:U284))</f>
      </c>
      <c r="W284" s="43">
        <f>IF($B284="","",IF(L284="","⚠ Basic salary missing",IF(SUM(R284:U284)&gt;SUM(L284:Q284),"⚠ Deductions exceed earnings",IF(COUNTIF($A$4:$A$1003,$A284)&gt;1,"⚠ Duplicate ID","✓"))))</f>
      </c>
    </row>
    <row r="285" spans="22:23" x14ac:dyDescent="0.25">
      <c r="V285" s="42">
        <f>IF($B285="","",SUM(L285:Q285)-SUM(R285:U285))</f>
      </c>
      <c r="W285" s="43">
        <f>IF($B285="","",IF(L285="","⚠ Basic salary missing",IF(SUM(R285:U285)&gt;SUM(L285:Q285),"⚠ Deductions exceed earnings",IF(COUNTIF($A$4:$A$1003,$A285)&gt;1,"⚠ Duplicate ID","✓"))))</f>
      </c>
    </row>
    <row r="286" spans="22:23" x14ac:dyDescent="0.25">
      <c r="V286" s="42">
        <f>IF($B286="","",SUM(L286:Q286)-SUM(R286:U286))</f>
      </c>
      <c r="W286" s="43">
        <f>IF($B286="","",IF(L286="","⚠ Basic salary missing",IF(SUM(R286:U286)&gt;SUM(L286:Q286),"⚠ Deductions exceed earnings",IF(COUNTIF($A$4:$A$1003,$A286)&gt;1,"⚠ Duplicate ID","✓"))))</f>
      </c>
    </row>
    <row r="287" spans="22:23" x14ac:dyDescent="0.25">
      <c r="V287" s="42">
        <f>IF($B287="","",SUM(L287:Q287)-SUM(R287:U287))</f>
      </c>
      <c r="W287" s="43">
        <f>IF($B287="","",IF(L287="","⚠ Basic salary missing",IF(SUM(R287:U287)&gt;SUM(L287:Q287),"⚠ Deductions exceed earnings",IF(COUNTIF($A$4:$A$1003,$A287)&gt;1,"⚠ Duplicate ID","✓"))))</f>
      </c>
    </row>
    <row r="288" spans="22:23" x14ac:dyDescent="0.25">
      <c r="V288" s="42">
        <f>IF($B288="","",SUM(L288:Q288)-SUM(R288:U288))</f>
      </c>
      <c r="W288" s="43">
        <f>IF($B288="","",IF(L288="","⚠ Basic salary missing",IF(SUM(R288:U288)&gt;SUM(L288:Q288),"⚠ Deductions exceed earnings",IF(COUNTIF($A$4:$A$1003,$A288)&gt;1,"⚠ Duplicate ID","✓"))))</f>
      </c>
    </row>
    <row r="289" spans="22:23" x14ac:dyDescent="0.25">
      <c r="V289" s="42">
        <f>IF($B289="","",SUM(L289:Q289)-SUM(R289:U289))</f>
      </c>
      <c r="W289" s="43">
        <f>IF($B289="","",IF(L289="","⚠ Basic salary missing",IF(SUM(R289:U289)&gt;SUM(L289:Q289),"⚠ Deductions exceed earnings",IF(COUNTIF($A$4:$A$1003,$A289)&gt;1,"⚠ Duplicate ID","✓"))))</f>
      </c>
    </row>
    <row r="290" spans="22:23" x14ac:dyDescent="0.25">
      <c r="V290" s="42">
        <f>IF($B290="","",SUM(L290:Q290)-SUM(R290:U290))</f>
      </c>
      <c r="W290" s="43">
        <f>IF($B290="","",IF(L290="","⚠ Basic salary missing",IF(SUM(R290:U290)&gt;SUM(L290:Q290),"⚠ Deductions exceed earnings",IF(COUNTIF($A$4:$A$1003,$A290)&gt;1,"⚠ Duplicate ID","✓"))))</f>
      </c>
    </row>
    <row r="291" spans="22:23" x14ac:dyDescent="0.25">
      <c r="V291" s="42">
        <f>IF($B291="","",SUM(L291:Q291)-SUM(R291:U291))</f>
      </c>
      <c r="W291" s="43">
        <f>IF($B291="","",IF(L291="","⚠ Basic salary missing",IF(SUM(R291:U291)&gt;SUM(L291:Q291),"⚠ Deductions exceed earnings",IF(COUNTIF($A$4:$A$1003,$A291)&gt;1,"⚠ Duplicate ID","✓"))))</f>
      </c>
    </row>
    <row r="292" spans="22:23" x14ac:dyDescent="0.25">
      <c r="V292" s="42">
        <f>IF($B292="","",SUM(L292:Q292)-SUM(R292:U292))</f>
      </c>
      <c r="W292" s="43">
        <f>IF($B292="","",IF(L292="","⚠ Basic salary missing",IF(SUM(R292:U292)&gt;SUM(L292:Q292),"⚠ Deductions exceed earnings",IF(COUNTIF($A$4:$A$1003,$A292)&gt;1,"⚠ Duplicate ID","✓"))))</f>
      </c>
    </row>
    <row r="293" spans="22:23" x14ac:dyDescent="0.25">
      <c r="V293" s="42">
        <f>IF($B293="","",SUM(L293:Q293)-SUM(R293:U293))</f>
      </c>
      <c r="W293" s="43">
        <f>IF($B293="","",IF(L293="","⚠ Basic salary missing",IF(SUM(R293:U293)&gt;SUM(L293:Q293),"⚠ Deductions exceed earnings",IF(COUNTIF($A$4:$A$1003,$A293)&gt;1,"⚠ Duplicate ID","✓"))))</f>
      </c>
    </row>
    <row r="294" spans="22:23" x14ac:dyDescent="0.25">
      <c r="V294" s="42">
        <f>IF($B294="","",SUM(L294:Q294)-SUM(R294:U294))</f>
      </c>
      <c r="W294" s="43">
        <f>IF($B294="","",IF(L294="","⚠ Basic salary missing",IF(SUM(R294:U294)&gt;SUM(L294:Q294),"⚠ Deductions exceed earnings",IF(COUNTIF($A$4:$A$1003,$A294)&gt;1,"⚠ Duplicate ID","✓"))))</f>
      </c>
    </row>
    <row r="295" spans="22:23" x14ac:dyDescent="0.25">
      <c r="V295" s="42">
        <f>IF($B295="","",SUM(L295:Q295)-SUM(R295:U295))</f>
      </c>
      <c r="W295" s="43">
        <f>IF($B295="","",IF(L295="","⚠ Basic salary missing",IF(SUM(R295:U295)&gt;SUM(L295:Q295),"⚠ Deductions exceed earnings",IF(COUNTIF($A$4:$A$1003,$A295)&gt;1,"⚠ Duplicate ID","✓"))))</f>
      </c>
    </row>
    <row r="296" spans="22:23" x14ac:dyDescent="0.25">
      <c r="V296" s="42">
        <f>IF($B296="","",SUM(L296:Q296)-SUM(R296:U296))</f>
      </c>
      <c r="W296" s="43">
        <f>IF($B296="","",IF(L296="","⚠ Basic salary missing",IF(SUM(R296:U296)&gt;SUM(L296:Q296),"⚠ Deductions exceed earnings",IF(COUNTIF($A$4:$A$1003,$A296)&gt;1,"⚠ Duplicate ID","✓"))))</f>
      </c>
    </row>
    <row r="297" spans="22:23" x14ac:dyDescent="0.25">
      <c r="V297" s="42">
        <f>IF($B297="","",SUM(L297:Q297)-SUM(R297:U297))</f>
      </c>
      <c r="W297" s="43">
        <f>IF($B297="","",IF(L297="","⚠ Basic salary missing",IF(SUM(R297:U297)&gt;SUM(L297:Q297),"⚠ Deductions exceed earnings",IF(COUNTIF($A$4:$A$1003,$A297)&gt;1,"⚠ Duplicate ID","✓"))))</f>
      </c>
    </row>
    <row r="298" spans="22:23" x14ac:dyDescent="0.25">
      <c r="V298" s="42">
        <f>IF($B298="","",SUM(L298:Q298)-SUM(R298:U298))</f>
      </c>
      <c r="W298" s="43">
        <f>IF($B298="","",IF(L298="","⚠ Basic salary missing",IF(SUM(R298:U298)&gt;SUM(L298:Q298),"⚠ Deductions exceed earnings",IF(COUNTIF($A$4:$A$1003,$A298)&gt;1,"⚠ Duplicate ID","✓"))))</f>
      </c>
    </row>
    <row r="299" spans="22:23" x14ac:dyDescent="0.25">
      <c r="V299" s="42">
        <f>IF($B299="","",SUM(L299:Q299)-SUM(R299:U299))</f>
      </c>
      <c r="W299" s="43">
        <f>IF($B299="","",IF(L299="","⚠ Basic salary missing",IF(SUM(R299:U299)&gt;SUM(L299:Q299),"⚠ Deductions exceed earnings",IF(COUNTIF($A$4:$A$1003,$A299)&gt;1,"⚠ Duplicate ID","✓"))))</f>
      </c>
    </row>
    <row r="300" spans="22:23" x14ac:dyDescent="0.25">
      <c r="V300" s="42">
        <f>IF($B300="","",SUM(L300:Q300)-SUM(R300:U300))</f>
      </c>
      <c r="W300" s="43">
        <f>IF($B300="","",IF(L300="","⚠ Basic salary missing",IF(SUM(R300:U300)&gt;SUM(L300:Q300),"⚠ Deductions exceed earnings",IF(COUNTIF($A$4:$A$1003,$A300)&gt;1,"⚠ Duplicate ID","✓"))))</f>
      </c>
    </row>
    <row r="301" spans="22:23" x14ac:dyDescent="0.25">
      <c r="V301" s="42">
        <f>IF($B301="","",SUM(L301:Q301)-SUM(R301:U301))</f>
      </c>
      <c r="W301" s="43">
        <f>IF($B301="","",IF(L301="","⚠ Basic salary missing",IF(SUM(R301:U301)&gt;SUM(L301:Q301),"⚠ Deductions exceed earnings",IF(COUNTIF($A$4:$A$1003,$A301)&gt;1,"⚠ Duplicate ID","✓"))))</f>
      </c>
    </row>
    <row r="302" spans="22:23" x14ac:dyDescent="0.25">
      <c r="V302" s="42">
        <f>IF($B302="","",SUM(L302:Q302)-SUM(R302:U302))</f>
      </c>
      <c r="W302" s="43">
        <f>IF($B302="","",IF(L302="","⚠ Basic salary missing",IF(SUM(R302:U302)&gt;SUM(L302:Q302),"⚠ Deductions exceed earnings",IF(COUNTIF($A$4:$A$1003,$A302)&gt;1,"⚠ Duplicate ID","✓"))))</f>
      </c>
    </row>
    <row r="303" spans="22:23" x14ac:dyDescent="0.25">
      <c r="V303" s="42">
        <f>IF($B303="","",SUM(L303:Q303)-SUM(R303:U303))</f>
      </c>
      <c r="W303" s="43">
        <f>IF($B303="","",IF(L303="","⚠ Basic salary missing",IF(SUM(R303:U303)&gt;SUM(L303:Q303),"⚠ Deductions exceed earnings",IF(COUNTIF($A$4:$A$1003,$A303)&gt;1,"⚠ Duplicate ID","✓"))))</f>
      </c>
    </row>
    <row r="304" spans="22:23" x14ac:dyDescent="0.25">
      <c r="V304" s="42">
        <f>IF($B304="","",SUM(L304:Q304)-SUM(R304:U304))</f>
      </c>
      <c r="W304" s="43">
        <f>IF($B304="","",IF(L304="","⚠ Basic salary missing",IF(SUM(R304:U304)&gt;SUM(L304:Q304),"⚠ Deductions exceed earnings",IF(COUNTIF($A$4:$A$1003,$A304)&gt;1,"⚠ Duplicate ID","✓"))))</f>
      </c>
    </row>
    <row r="305" spans="22:23" x14ac:dyDescent="0.25">
      <c r="V305" s="42">
        <f>IF($B305="","",SUM(L305:Q305)-SUM(R305:U305))</f>
      </c>
      <c r="W305" s="43">
        <f>IF($B305="","",IF(L305="","⚠ Basic salary missing",IF(SUM(R305:U305)&gt;SUM(L305:Q305),"⚠ Deductions exceed earnings",IF(COUNTIF($A$4:$A$1003,$A305)&gt;1,"⚠ Duplicate ID","✓"))))</f>
      </c>
    </row>
    <row r="306" spans="22:23" x14ac:dyDescent="0.25">
      <c r="V306" s="42">
        <f>IF($B306="","",SUM(L306:Q306)-SUM(R306:U306))</f>
      </c>
      <c r="W306" s="43">
        <f>IF($B306="","",IF(L306="","⚠ Basic salary missing",IF(SUM(R306:U306)&gt;SUM(L306:Q306),"⚠ Deductions exceed earnings",IF(COUNTIF($A$4:$A$1003,$A306)&gt;1,"⚠ Duplicate ID","✓"))))</f>
      </c>
    </row>
    <row r="307" spans="22:23" x14ac:dyDescent="0.25">
      <c r="V307" s="42">
        <f>IF($B307="","",SUM(L307:Q307)-SUM(R307:U307))</f>
      </c>
      <c r="W307" s="43">
        <f>IF($B307="","",IF(L307="","⚠ Basic salary missing",IF(SUM(R307:U307)&gt;SUM(L307:Q307),"⚠ Deductions exceed earnings",IF(COUNTIF($A$4:$A$1003,$A307)&gt;1,"⚠ Duplicate ID","✓"))))</f>
      </c>
    </row>
    <row r="308" spans="22:23" x14ac:dyDescent="0.25">
      <c r="V308" s="42">
        <f>IF($B308="","",SUM(L308:Q308)-SUM(R308:U308))</f>
      </c>
      <c r="W308" s="43">
        <f>IF($B308="","",IF(L308="","⚠ Basic salary missing",IF(SUM(R308:U308)&gt;SUM(L308:Q308),"⚠ Deductions exceed earnings",IF(COUNTIF($A$4:$A$1003,$A308)&gt;1,"⚠ Duplicate ID","✓"))))</f>
      </c>
    </row>
    <row r="309" spans="22:23" x14ac:dyDescent="0.25">
      <c r="V309" s="42">
        <f>IF($B309="","",SUM(L309:Q309)-SUM(R309:U309))</f>
      </c>
      <c r="W309" s="43">
        <f>IF($B309="","",IF(L309="","⚠ Basic salary missing",IF(SUM(R309:U309)&gt;SUM(L309:Q309),"⚠ Deductions exceed earnings",IF(COUNTIF($A$4:$A$1003,$A309)&gt;1,"⚠ Duplicate ID","✓"))))</f>
      </c>
    </row>
    <row r="310" spans="22:23" x14ac:dyDescent="0.25">
      <c r="V310" s="42">
        <f>IF($B310="","",SUM(L310:Q310)-SUM(R310:U310))</f>
      </c>
      <c r="W310" s="43">
        <f>IF($B310="","",IF(L310="","⚠ Basic salary missing",IF(SUM(R310:U310)&gt;SUM(L310:Q310),"⚠ Deductions exceed earnings",IF(COUNTIF($A$4:$A$1003,$A310)&gt;1,"⚠ Duplicate ID","✓"))))</f>
      </c>
    </row>
    <row r="311" spans="22:23" x14ac:dyDescent="0.25">
      <c r="V311" s="42">
        <f>IF($B311="","",SUM(L311:Q311)-SUM(R311:U311))</f>
      </c>
      <c r="W311" s="43">
        <f>IF($B311="","",IF(L311="","⚠ Basic salary missing",IF(SUM(R311:U311)&gt;SUM(L311:Q311),"⚠ Deductions exceed earnings",IF(COUNTIF($A$4:$A$1003,$A311)&gt;1,"⚠ Duplicate ID","✓"))))</f>
      </c>
    </row>
    <row r="312" spans="22:23" x14ac:dyDescent="0.25">
      <c r="V312" s="42">
        <f>IF($B312="","",SUM(L312:Q312)-SUM(R312:U312))</f>
      </c>
      <c r="W312" s="43">
        <f>IF($B312="","",IF(L312="","⚠ Basic salary missing",IF(SUM(R312:U312)&gt;SUM(L312:Q312),"⚠ Deductions exceed earnings",IF(COUNTIF($A$4:$A$1003,$A312)&gt;1,"⚠ Duplicate ID","✓"))))</f>
      </c>
    </row>
    <row r="313" spans="22:23" x14ac:dyDescent="0.25">
      <c r="V313" s="42">
        <f>IF($B313="","",SUM(L313:Q313)-SUM(R313:U313))</f>
      </c>
      <c r="W313" s="43">
        <f>IF($B313="","",IF(L313="","⚠ Basic salary missing",IF(SUM(R313:U313)&gt;SUM(L313:Q313),"⚠ Deductions exceed earnings",IF(COUNTIF($A$4:$A$1003,$A313)&gt;1,"⚠ Duplicate ID","✓"))))</f>
      </c>
    </row>
    <row r="314" spans="22:23" x14ac:dyDescent="0.25">
      <c r="V314" s="42">
        <f>IF($B314="","",SUM(L314:Q314)-SUM(R314:U314))</f>
      </c>
      <c r="W314" s="43">
        <f>IF($B314="","",IF(L314="","⚠ Basic salary missing",IF(SUM(R314:U314)&gt;SUM(L314:Q314),"⚠ Deductions exceed earnings",IF(COUNTIF($A$4:$A$1003,$A314)&gt;1,"⚠ Duplicate ID","✓"))))</f>
      </c>
    </row>
    <row r="315" spans="22:23" x14ac:dyDescent="0.25">
      <c r="V315" s="42">
        <f>IF($B315="","",SUM(L315:Q315)-SUM(R315:U315))</f>
      </c>
      <c r="W315" s="43">
        <f>IF($B315="","",IF(L315="","⚠ Basic salary missing",IF(SUM(R315:U315)&gt;SUM(L315:Q315),"⚠ Deductions exceed earnings",IF(COUNTIF($A$4:$A$1003,$A315)&gt;1,"⚠ Duplicate ID","✓"))))</f>
      </c>
    </row>
    <row r="316" spans="22:23" x14ac:dyDescent="0.25">
      <c r="V316" s="42">
        <f>IF($B316="","",SUM(L316:Q316)-SUM(R316:U316))</f>
      </c>
      <c r="W316" s="43">
        <f>IF($B316="","",IF(L316="","⚠ Basic salary missing",IF(SUM(R316:U316)&gt;SUM(L316:Q316),"⚠ Deductions exceed earnings",IF(COUNTIF($A$4:$A$1003,$A316)&gt;1,"⚠ Duplicate ID","✓"))))</f>
      </c>
    </row>
    <row r="317" spans="22:23" x14ac:dyDescent="0.25">
      <c r="V317" s="42">
        <f>IF($B317="","",SUM(L317:Q317)-SUM(R317:U317))</f>
      </c>
      <c r="W317" s="43">
        <f>IF($B317="","",IF(L317="","⚠ Basic salary missing",IF(SUM(R317:U317)&gt;SUM(L317:Q317),"⚠ Deductions exceed earnings",IF(COUNTIF($A$4:$A$1003,$A317)&gt;1,"⚠ Duplicate ID","✓"))))</f>
      </c>
    </row>
    <row r="318" spans="22:23" x14ac:dyDescent="0.25">
      <c r="V318" s="42">
        <f>IF($B318="","",SUM(L318:Q318)-SUM(R318:U318))</f>
      </c>
      <c r="W318" s="43">
        <f>IF($B318="","",IF(L318="","⚠ Basic salary missing",IF(SUM(R318:U318)&gt;SUM(L318:Q318),"⚠ Deductions exceed earnings",IF(COUNTIF($A$4:$A$1003,$A318)&gt;1,"⚠ Duplicate ID","✓"))))</f>
      </c>
    </row>
    <row r="319" spans="22:23" x14ac:dyDescent="0.25">
      <c r="V319" s="42">
        <f>IF($B319="","",SUM(L319:Q319)-SUM(R319:U319))</f>
      </c>
      <c r="W319" s="43">
        <f>IF($B319="","",IF(L319="","⚠ Basic salary missing",IF(SUM(R319:U319)&gt;SUM(L319:Q319),"⚠ Deductions exceed earnings",IF(COUNTIF($A$4:$A$1003,$A319)&gt;1,"⚠ Duplicate ID","✓"))))</f>
      </c>
    </row>
    <row r="320" spans="22:23" x14ac:dyDescent="0.25">
      <c r="V320" s="42">
        <f>IF($B320="","",SUM(L320:Q320)-SUM(R320:U320))</f>
      </c>
      <c r="W320" s="43">
        <f>IF($B320="","",IF(L320="","⚠ Basic salary missing",IF(SUM(R320:U320)&gt;SUM(L320:Q320),"⚠ Deductions exceed earnings",IF(COUNTIF($A$4:$A$1003,$A320)&gt;1,"⚠ Duplicate ID","✓"))))</f>
      </c>
    </row>
    <row r="321" spans="22:23" x14ac:dyDescent="0.25">
      <c r="V321" s="42">
        <f>IF($B321="","",SUM(L321:Q321)-SUM(R321:U321))</f>
      </c>
      <c r="W321" s="43">
        <f>IF($B321="","",IF(L321="","⚠ Basic salary missing",IF(SUM(R321:U321)&gt;SUM(L321:Q321),"⚠ Deductions exceed earnings",IF(COUNTIF($A$4:$A$1003,$A321)&gt;1,"⚠ Duplicate ID","✓"))))</f>
      </c>
    </row>
    <row r="322" spans="22:23" x14ac:dyDescent="0.25">
      <c r="V322" s="42">
        <f>IF($B322="","",SUM(L322:Q322)-SUM(R322:U322))</f>
      </c>
      <c r="W322" s="43">
        <f>IF($B322="","",IF(L322="","⚠ Basic salary missing",IF(SUM(R322:U322)&gt;SUM(L322:Q322),"⚠ Deductions exceed earnings",IF(COUNTIF($A$4:$A$1003,$A322)&gt;1,"⚠ Duplicate ID","✓"))))</f>
      </c>
    </row>
    <row r="323" spans="22:23" x14ac:dyDescent="0.25">
      <c r="V323" s="42">
        <f>IF($B323="","",SUM(L323:Q323)-SUM(R323:U323))</f>
      </c>
      <c r="W323" s="43">
        <f>IF($B323="","",IF(L323="","⚠ Basic salary missing",IF(SUM(R323:U323)&gt;SUM(L323:Q323),"⚠ Deductions exceed earnings",IF(COUNTIF($A$4:$A$1003,$A323)&gt;1,"⚠ Duplicate ID","✓"))))</f>
      </c>
    </row>
    <row r="324" spans="22:23" x14ac:dyDescent="0.25">
      <c r="V324" s="42">
        <f>IF($B324="","",SUM(L324:Q324)-SUM(R324:U324))</f>
      </c>
      <c r="W324" s="43">
        <f>IF($B324="","",IF(L324="","⚠ Basic salary missing",IF(SUM(R324:U324)&gt;SUM(L324:Q324),"⚠ Deductions exceed earnings",IF(COUNTIF($A$4:$A$1003,$A324)&gt;1,"⚠ Duplicate ID","✓"))))</f>
      </c>
    </row>
    <row r="325" spans="22:23" x14ac:dyDescent="0.25">
      <c r="V325" s="42">
        <f>IF($B325="","",SUM(L325:Q325)-SUM(R325:U325))</f>
      </c>
      <c r="W325" s="43">
        <f>IF($B325="","",IF(L325="","⚠ Basic salary missing",IF(SUM(R325:U325)&gt;SUM(L325:Q325),"⚠ Deductions exceed earnings",IF(COUNTIF($A$4:$A$1003,$A325)&gt;1,"⚠ Duplicate ID","✓"))))</f>
      </c>
    </row>
    <row r="326" spans="22:23" x14ac:dyDescent="0.25">
      <c r="V326" s="42">
        <f>IF($B326="","",SUM(L326:Q326)-SUM(R326:U326))</f>
      </c>
      <c r="W326" s="43">
        <f>IF($B326="","",IF(L326="","⚠ Basic salary missing",IF(SUM(R326:U326)&gt;SUM(L326:Q326),"⚠ Deductions exceed earnings",IF(COUNTIF($A$4:$A$1003,$A326)&gt;1,"⚠ Duplicate ID","✓"))))</f>
      </c>
    </row>
    <row r="327" spans="22:23" x14ac:dyDescent="0.25">
      <c r="V327" s="42">
        <f>IF($B327="","",SUM(L327:Q327)-SUM(R327:U327))</f>
      </c>
      <c r="W327" s="43">
        <f>IF($B327="","",IF(L327="","⚠ Basic salary missing",IF(SUM(R327:U327)&gt;SUM(L327:Q327),"⚠ Deductions exceed earnings",IF(COUNTIF($A$4:$A$1003,$A327)&gt;1,"⚠ Duplicate ID","✓"))))</f>
      </c>
    </row>
    <row r="328" spans="22:23" x14ac:dyDescent="0.25">
      <c r="V328" s="42">
        <f>IF($B328="","",SUM(L328:Q328)-SUM(R328:U328))</f>
      </c>
      <c r="W328" s="43">
        <f>IF($B328="","",IF(L328="","⚠ Basic salary missing",IF(SUM(R328:U328)&gt;SUM(L328:Q328),"⚠ Deductions exceed earnings",IF(COUNTIF($A$4:$A$1003,$A328)&gt;1,"⚠ Duplicate ID","✓"))))</f>
      </c>
    </row>
    <row r="329" spans="22:23" x14ac:dyDescent="0.25">
      <c r="V329" s="42">
        <f>IF($B329="","",SUM(L329:Q329)-SUM(R329:U329))</f>
      </c>
      <c r="W329" s="43">
        <f>IF($B329="","",IF(L329="","⚠ Basic salary missing",IF(SUM(R329:U329)&gt;SUM(L329:Q329),"⚠ Deductions exceed earnings",IF(COUNTIF($A$4:$A$1003,$A329)&gt;1,"⚠ Duplicate ID","✓"))))</f>
      </c>
    </row>
    <row r="330" spans="22:23" x14ac:dyDescent="0.25">
      <c r="V330" s="42">
        <f>IF($B330="","",SUM(L330:Q330)-SUM(R330:U330))</f>
      </c>
      <c r="W330" s="43">
        <f>IF($B330="","",IF(L330="","⚠ Basic salary missing",IF(SUM(R330:U330)&gt;SUM(L330:Q330),"⚠ Deductions exceed earnings",IF(COUNTIF($A$4:$A$1003,$A330)&gt;1,"⚠ Duplicate ID","✓"))))</f>
      </c>
    </row>
    <row r="331" spans="22:23" x14ac:dyDescent="0.25">
      <c r="V331" s="42">
        <f>IF($B331="","",SUM(L331:Q331)-SUM(R331:U331))</f>
      </c>
      <c r="W331" s="43">
        <f>IF($B331="","",IF(L331="","⚠ Basic salary missing",IF(SUM(R331:U331)&gt;SUM(L331:Q331),"⚠ Deductions exceed earnings",IF(COUNTIF($A$4:$A$1003,$A331)&gt;1,"⚠ Duplicate ID","✓"))))</f>
      </c>
    </row>
    <row r="332" spans="22:23" x14ac:dyDescent="0.25">
      <c r="V332" s="42">
        <f>IF($B332="","",SUM(L332:Q332)-SUM(R332:U332))</f>
      </c>
      <c r="W332" s="43">
        <f>IF($B332="","",IF(L332="","⚠ Basic salary missing",IF(SUM(R332:U332)&gt;SUM(L332:Q332),"⚠ Deductions exceed earnings",IF(COUNTIF($A$4:$A$1003,$A332)&gt;1,"⚠ Duplicate ID","✓"))))</f>
      </c>
    </row>
    <row r="333" spans="22:23" x14ac:dyDescent="0.25">
      <c r="V333" s="42">
        <f>IF($B333="","",SUM(L333:Q333)-SUM(R333:U333))</f>
      </c>
      <c r="W333" s="43">
        <f>IF($B333="","",IF(L333="","⚠ Basic salary missing",IF(SUM(R333:U333)&gt;SUM(L333:Q333),"⚠ Deductions exceed earnings",IF(COUNTIF($A$4:$A$1003,$A333)&gt;1,"⚠ Duplicate ID","✓"))))</f>
      </c>
    </row>
    <row r="334" spans="22:23" x14ac:dyDescent="0.25">
      <c r="V334" s="42">
        <f>IF($B334="","",SUM(L334:Q334)-SUM(R334:U334))</f>
      </c>
      <c r="W334" s="43">
        <f>IF($B334="","",IF(L334="","⚠ Basic salary missing",IF(SUM(R334:U334)&gt;SUM(L334:Q334),"⚠ Deductions exceed earnings",IF(COUNTIF($A$4:$A$1003,$A334)&gt;1,"⚠ Duplicate ID","✓"))))</f>
      </c>
    </row>
    <row r="335" spans="22:23" x14ac:dyDescent="0.25">
      <c r="V335" s="42">
        <f>IF($B335="","",SUM(L335:Q335)-SUM(R335:U335))</f>
      </c>
      <c r="W335" s="43">
        <f>IF($B335="","",IF(L335="","⚠ Basic salary missing",IF(SUM(R335:U335)&gt;SUM(L335:Q335),"⚠ Deductions exceed earnings",IF(COUNTIF($A$4:$A$1003,$A335)&gt;1,"⚠ Duplicate ID","✓"))))</f>
      </c>
    </row>
    <row r="336" spans="22:23" x14ac:dyDescent="0.25">
      <c r="V336" s="42">
        <f>IF($B336="","",SUM(L336:Q336)-SUM(R336:U336))</f>
      </c>
      <c r="W336" s="43">
        <f>IF($B336="","",IF(L336="","⚠ Basic salary missing",IF(SUM(R336:U336)&gt;SUM(L336:Q336),"⚠ Deductions exceed earnings",IF(COUNTIF($A$4:$A$1003,$A336)&gt;1,"⚠ Duplicate ID","✓"))))</f>
      </c>
    </row>
    <row r="337" spans="22:23" x14ac:dyDescent="0.25">
      <c r="V337" s="42">
        <f>IF($B337="","",SUM(L337:Q337)-SUM(R337:U337))</f>
      </c>
      <c r="W337" s="43">
        <f>IF($B337="","",IF(L337="","⚠ Basic salary missing",IF(SUM(R337:U337)&gt;SUM(L337:Q337),"⚠ Deductions exceed earnings",IF(COUNTIF($A$4:$A$1003,$A337)&gt;1,"⚠ Duplicate ID","✓"))))</f>
      </c>
    </row>
    <row r="338" spans="22:23" x14ac:dyDescent="0.25">
      <c r="V338" s="42">
        <f>IF($B338="","",SUM(L338:Q338)-SUM(R338:U338))</f>
      </c>
      <c r="W338" s="43">
        <f>IF($B338="","",IF(L338="","⚠ Basic salary missing",IF(SUM(R338:U338)&gt;SUM(L338:Q338),"⚠ Deductions exceed earnings",IF(COUNTIF($A$4:$A$1003,$A338)&gt;1,"⚠ Duplicate ID","✓"))))</f>
      </c>
    </row>
    <row r="339" spans="22:23" x14ac:dyDescent="0.25">
      <c r="V339" s="42">
        <f>IF($B339="","",SUM(L339:Q339)-SUM(R339:U339))</f>
      </c>
      <c r="W339" s="43">
        <f>IF($B339="","",IF(L339="","⚠ Basic salary missing",IF(SUM(R339:U339)&gt;SUM(L339:Q339),"⚠ Deductions exceed earnings",IF(COUNTIF($A$4:$A$1003,$A339)&gt;1,"⚠ Duplicate ID","✓"))))</f>
      </c>
    </row>
    <row r="340" spans="22:23" x14ac:dyDescent="0.25">
      <c r="V340" s="42">
        <f>IF($B340="","",SUM(L340:Q340)-SUM(R340:U340))</f>
      </c>
      <c r="W340" s="43">
        <f>IF($B340="","",IF(L340="","⚠ Basic salary missing",IF(SUM(R340:U340)&gt;SUM(L340:Q340),"⚠ Deductions exceed earnings",IF(COUNTIF($A$4:$A$1003,$A340)&gt;1,"⚠ Duplicate ID","✓"))))</f>
      </c>
    </row>
    <row r="341" spans="22:23" x14ac:dyDescent="0.25">
      <c r="V341" s="42">
        <f>IF($B341="","",SUM(L341:Q341)-SUM(R341:U341))</f>
      </c>
      <c r="W341" s="43">
        <f>IF($B341="","",IF(L341="","⚠ Basic salary missing",IF(SUM(R341:U341)&gt;SUM(L341:Q341),"⚠ Deductions exceed earnings",IF(COUNTIF($A$4:$A$1003,$A341)&gt;1,"⚠ Duplicate ID","✓"))))</f>
      </c>
    </row>
    <row r="342" spans="22:23" x14ac:dyDescent="0.25">
      <c r="V342" s="42">
        <f>IF($B342="","",SUM(L342:Q342)-SUM(R342:U342))</f>
      </c>
      <c r="W342" s="43">
        <f>IF($B342="","",IF(L342="","⚠ Basic salary missing",IF(SUM(R342:U342)&gt;SUM(L342:Q342),"⚠ Deductions exceed earnings",IF(COUNTIF($A$4:$A$1003,$A342)&gt;1,"⚠ Duplicate ID","✓"))))</f>
      </c>
    </row>
    <row r="343" spans="22:23" x14ac:dyDescent="0.25">
      <c r="V343" s="42">
        <f>IF($B343="","",SUM(L343:Q343)-SUM(R343:U343))</f>
      </c>
      <c r="W343" s="43">
        <f>IF($B343="","",IF(L343="","⚠ Basic salary missing",IF(SUM(R343:U343)&gt;SUM(L343:Q343),"⚠ Deductions exceed earnings",IF(COUNTIF($A$4:$A$1003,$A343)&gt;1,"⚠ Duplicate ID","✓"))))</f>
      </c>
    </row>
    <row r="344" spans="22:23" x14ac:dyDescent="0.25">
      <c r="V344" s="42">
        <f>IF($B344="","",SUM(L344:Q344)-SUM(R344:U344))</f>
      </c>
      <c r="W344" s="43">
        <f>IF($B344="","",IF(L344="","⚠ Basic salary missing",IF(SUM(R344:U344)&gt;SUM(L344:Q344),"⚠ Deductions exceed earnings",IF(COUNTIF($A$4:$A$1003,$A344)&gt;1,"⚠ Duplicate ID","✓"))))</f>
      </c>
    </row>
    <row r="345" spans="22:23" x14ac:dyDescent="0.25">
      <c r="V345" s="42">
        <f>IF($B345="","",SUM(L345:Q345)-SUM(R345:U345))</f>
      </c>
      <c r="W345" s="43">
        <f>IF($B345="","",IF(L345="","⚠ Basic salary missing",IF(SUM(R345:U345)&gt;SUM(L345:Q345),"⚠ Deductions exceed earnings",IF(COUNTIF($A$4:$A$1003,$A345)&gt;1,"⚠ Duplicate ID","✓"))))</f>
      </c>
    </row>
    <row r="346" spans="22:23" x14ac:dyDescent="0.25">
      <c r="V346" s="42">
        <f>IF($B346="","",SUM(L346:Q346)-SUM(R346:U346))</f>
      </c>
      <c r="W346" s="43">
        <f>IF($B346="","",IF(L346="","⚠ Basic salary missing",IF(SUM(R346:U346)&gt;SUM(L346:Q346),"⚠ Deductions exceed earnings",IF(COUNTIF($A$4:$A$1003,$A346)&gt;1,"⚠ Duplicate ID","✓"))))</f>
      </c>
    </row>
    <row r="347" spans="22:23" x14ac:dyDescent="0.25">
      <c r="V347" s="42">
        <f>IF($B347="","",SUM(L347:Q347)-SUM(R347:U347))</f>
      </c>
      <c r="W347" s="43">
        <f>IF($B347="","",IF(L347="","⚠ Basic salary missing",IF(SUM(R347:U347)&gt;SUM(L347:Q347),"⚠ Deductions exceed earnings",IF(COUNTIF($A$4:$A$1003,$A347)&gt;1,"⚠ Duplicate ID","✓"))))</f>
      </c>
    </row>
    <row r="348" spans="22:23" x14ac:dyDescent="0.25">
      <c r="V348" s="42">
        <f>IF($B348="","",SUM(L348:Q348)-SUM(R348:U348))</f>
      </c>
      <c r="W348" s="43">
        <f>IF($B348="","",IF(L348="","⚠ Basic salary missing",IF(SUM(R348:U348)&gt;SUM(L348:Q348),"⚠ Deductions exceed earnings",IF(COUNTIF($A$4:$A$1003,$A348)&gt;1,"⚠ Duplicate ID","✓"))))</f>
      </c>
    </row>
    <row r="349" spans="22:23" x14ac:dyDescent="0.25">
      <c r="V349" s="42">
        <f>IF($B349="","",SUM(L349:Q349)-SUM(R349:U349))</f>
      </c>
      <c r="W349" s="43">
        <f>IF($B349="","",IF(L349="","⚠ Basic salary missing",IF(SUM(R349:U349)&gt;SUM(L349:Q349),"⚠ Deductions exceed earnings",IF(COUNTIF($A$4:$A$1003,$A349)&gt;1,"⚠ Duplicate ID","✓"))))</f>
      </c>
    </row>
    <row r="350" spans="22:23" x14ac:dyDescent="0.25">
      <c r="V350" s="42">
        <f>IF($B350="","",SUM(L350:Q350)-SUM(R350:U350))</f>
      </c>
      <c r="W350" s="43">
        <f>IF($B350="","",IF(L350="","⚠ Basic salary missing",IF(SUM(R350:U350)&gt;SUM(L350:Q350),"⚠ Deductions exceed earnings",IF(COUNTIF($A$4:$A$1003,$A350)&gt;1,"⚠ Duplicate ID","✓"))))</f>
      </c>
    </row>
    <row r="351" spans="22:23" x14ac:dyDescent="0.25">
      <c r="V351" s="42">
        <f>IF($B351="","",SUM(L351:Q351)-SUM(R351:U351))</f>
      </c>
      <c r="W351" s="43">
        <f>IF($B351="","",IF(L351="","⚠ Basic salary missing",IF(SUM(R351:U351)&gt;SUM(L351:Q351),"⚠ Deductions exceed earnings",IF(COUNTIF($A$4:$A$1003,$A351)&gt;1,"⚠ Duplicate ID","✓"))))</f>
      </c>
    </row>
    <row r="352" spans="22:23" x14ac:dyDescent="0.25">
      <c r="V352" s="42">
        <f>IF($B352="","",SUM(L352:Q352)-SUM(R352:U352))</f>
      </c>
      <c r="W352" s="43">
        <f>IF($B352="","",IF(L352="","⚠ Basic salary missing",IF(SUM(R352:U352)&gt;SUM(L352:Q352),"⚠ Deductions exceed earnings",IF(COUNTIF($A$4:$A$1003,$A352)&gt;1,"⚠ Duplicate ID","✓"))))</f>
      </c>
    </row>
    <row r="353" spans="22:23" x14ac:dyDescent="0.25">
      <c r="V353" s="42">
        <f>IF($B353="","",SUM(L353:Q353)-SUM(R353:U353))</f>
      </c>
      <c r="W353" s="43">
        <f>IF($B353="","",IF(L353="","⚠ Basic salary missing",IF(SUM(R353:U353)&gt;SUM(L353:Q353),"⚠ Deductions exceed earnings",IF(COUNTIF($A$4:$A$1003,$A353)&gt;1,"⚠ Duplicate ID","✓"))))</f>
      </c>
    </row>
    <row r="354" spans="22:23" x14ac:dyDescent="0.25">
      <c r="V354" s="42">
        <f>IF($B354="","",SUM(L354:Q354)-SUM(R354:U354))</f>
      </c>
      <c r="W354" s="43">
        <f>IF($B354="","",IF(L354="","⚠ Basic salary missing",IF(SUM(R354:U354)&gt;SUM(L354:Q354),"⚠ Deductions exceed earnings",IF(COUNTIF($A$4:$A$1003,$A354)&gt;1,"⚠ Duplicate ID","✓"))))</f>
      </c>
    </row>
    <row r="355" spans="22:23" x14ac:dyDescent="0.25">
      <c r="V355" s="42">
        <f>IF($B355="","",SUM(L355:Q355)-SUM(R355:U355))</f>
      </c>
      <c r="W355" s="43">
        <f>IF($B355="","",IF(L355="","⚠ Basic salary missing",IF(SUM(R355:U355)&gt;SUM(L355:Q355),"⚠ Deductions exceed earnings",IF(COUNTIF($A$4:$A$1003,$A355)&gt;1,"⚠ Duplicate ID","✓"))))</f>
      </c>
    </row>
    <row r="356" spans="22:23" x14ac:dyDescent="0.25">
      <c r="V356" s="42">
        <f>IF($B356="","",SUM(L356:Q356)-SUM(R356:U356))</f>
      </c>
      <c r="W356" s="43">
        <f>IF($B356="","",IF(L356="","⚠ Basic salary missing",IF(SUM(R356:U356)&gt;SUM(L356:Q356),"⚠ Deductions exceed earnings",IF(COUNTIF($A$4:$A$1003,$A356)&gt;1,"⚠ Duplicate ID","✓"))))</f>
      </c>
    </row>
    <row r="357" spans="22:23" x14ac:dyDescent="0.25">
      <c r="V357" s="42">
        <f>IF($B357="","",SUM(L357:Q357)-SUM(R357:U357))</f>
      </c>
      <c r="W357" s="43">
        <f>IF($B357="","",IF(L357="","⚠ Basic salary missing",IF(SUM(R357:U357)&gt;SUM(L357:Q357),"⚠ Deductions exceed earnings",IF(COUNTIF($A$4:$A$1003,$A357)&gt;1,"⚠ Duplicate ID","✓"))))</f>
      </c>
    </row>
    <row r="358" spans="22:23" x14ac:dyDescent="0.25">
      <c r="V358" s="42">
        <f>IF($B358="","",SUM(L358:Q358)-SUM(R358:U358))</f>
      </c>
      <c r="W358" s="43">
        <f>IF($B358="","",IF(L358="","⚠ Basic salary missing",IF(SUM(R358:U358)&gt;SUM(L358:Q358),"⚠ Deductions exceed earnings",IF(COUNTIF($A$4:$A$1003,$A358)&gt;1,"⚠ Duplicate ID","✓"))))</f>
      </c>
    </row>
    <row r="359" spans="22:23" x14ac:dyDescent="0.25">
      <c r="V359" s="42">
        <f>IF($B359="","",SUM(L359:Q359)-SUM(R359:U359))</f>
      </c>
      <c r="W359" s="43">
        <f>IF($B359="","",IF(L359="","⚠ Basic salary missing",IF(SUM(R359:U359)&gt;SUM(L359:Q359),"⚠ Deductions exceed earnings",IF(COUNTIF($A$4:$A$1003,$A359)&gt;1,"⚠ Duplicate ID","✓"))))</f>
      </c>
    </row>
    <row r="360" spans="22:23" x14ac:dyDescent="0.25">
      <c r="V360" s="42">
        <f>IF($B360="","",SUM(L360:Q360)-SUM(R360:U360))</f>
      </c>
      <c r="W360" s="43">
        <f>IF($B360="","",IF(L360="","⚠ Basic salary missing",IF(SUM(R360:U360)&gt;SUM(L360:Q360),"⚠ Deductions exceed earnings",IF(COUNTIF($A$4:$A$1003,$A360)&gt;1,"⚠ Duplicate ID","✓"))))</f>
      </c>
    </row>
    <row r="361" spans="22:23" x14ac:dyDescent="0.25">
      <c r="V361" s="42">
        <f>IF($B361="","",SUM(L361:Q361)-SUM(R361:U361))</f>
      </c>
      <c r="W361" s="43">
        <f>IF($B361="","",IF(L361="","⚠ Basic salary missing",IF(SUM(R361:U361)&gt;SUM(L361:Q361),"⚠ Deductions exceed earnings",IF(COUNTIF($A$4:$A$1003,$A361)&gt;1,"⚠ Duplicate ID","✓"))))</f>
      </c>
    </row>
    <row r="362" spans="22:23" x14ac:dyDescent="0.25">
      <c r="V362" s="42">
        <f>IF($B362="","",SUM(L362:Q362)-SUM(R362:U362))</f>
      </c>
      <c r="W362" s="43">
        <f>IF($B362="","",IF(L362="","⚠ Basic salary missing",IF(SUM(R362:U362)&gt;SUM(L362:Q362),"⚠ Deductions exceed earnings",IF(COUNTIF($A$4:$A$1003,$A362)&gt;1,"⚠ Duplicate ID","✓"))))</f>
      </c>
    </row>
    <row r="363" spans="22:23" x14ac:dyDescent="0.25">
      <c r="V363" s="42">
        <f>IF($B363="","",SUM(L363:Q363)-SUM(R363:U363))</f>
      </c>
      <c r="W363" s="43">
        <f>IF($B363="","",IF(L363="","⚠ Basic salary missing",IF(SUM(R363:U363)&gt;SUM(L363:Q363),"⚠ Deductions exceed earnings",IF(COUNTIF($A$4:$A$1003,$A363)&gt;1,"⚠ Duplicate ID","✓"))))</f>
      </c>
    </row>
    <row r="364" spans="22:23" x14ac:dyDescent="0.25">
      <c r="V364" s="42">
        <f>IF($B364="","",SUM(L364:Q364)-SUM(R364:U364))</f>
      </c>
      <c r="W364" s="43">
        <f>IF($B364="","",IF(L364="","⚠ Basic salary missing",IF(SUM(R364:U364)&gt;SUM(L364:Q364),"⚠ Deductions exceed earnings",IF(COUNTIF($A$4:$A$1003,$A364)&gt;1,"⚠ Duplicate ID","✓"))))</f>
      </c>
    </row>
    <row r="365" spans="22:23" x14ac:dyDescent="0.25">
      <c r="V365" s="42">
        <f>IF($B365="","",SUM(L365:Q365)-SUM(R365:U365))</f>
      </c>
      <c r="W365" s="43">
        <f>IF($B365="","",IF(L365="","⚠ Basic salary missing",IF(SUM(R365:U365)&gt;SUM(L365:Q365),"⚠ Deductions exceed earnings",IF(COUNTIF($A$4:$A$1003,$A365)&gt;1,"⚠ Duplicate ID","✓"))))</f>
      </c>
    </row>
    <row r="366" spans="22:23" x14ac:dyDescent="0.25">
      <c r="V366" s="42">
        <f>IF($B366="","",SUM(L366:Q366)-SUM(R366:U366))</f>
      </c>
      <c r="W366" s="43">
        <f>IF($B366="","",IF(L366="","⚠ Basic salary missing",IF(SUM(R366:U366)&gt;SUM(L366:Q366),"⚠ Deductions exceed earnings",IF(COUNTIF($A$4:$A$1003,$A366)&gt;1,"⚠ Duplicate ID","✓"))))</f>
      </c>
    </row>
    <row r="367" spans="22:23" x14ac:dyDescent="0.25">
      <c r="V367" s="42">
        <f>IF($B367="","",SUM(L367:Q367)-SUM(R367:U367))</f>
      </c>
      <c r="W367" s="43">
        <f>IF($B367="","",IF(L367="","⚠ Basic salary missing",IF(SUM(R367:U367)&gt;SUM(L367:Q367),"⚠ Deductions exceed earnings",IF(COUNTIF($A$4:$A$1003,$A367)&gt;1,"⚠ Duplicate ID","✓"))))</f>
      </c>
    </row>
    <row r="368" spans="22:23" x14ac:dyDescent="0.25">
      <c r="V368" s="42">
        <f>IF($B368="","",SUM(L368:Q368)-SUM(R368:U368))</f>
      </c>
      <c r="W368" s="43">
        <f>IF($B368="","",IF(L368="","⚠ Basic salary missing",IF(SUM(R368:U368)&gt;SUM(L368:Q368),"⚠ Deductions exceed earnings",IF(COUNTIF($A$4:$A$1003,$A368)&gt;1,"⚠ Duplicate ID","✓"))))</f>
      </c>
    </row>
    <row r="369" spans="22:23" x14ac:dyDescent="0.25">
      <c r="V369" s="42">
        <f>IF($B369="","",SUM(L369:Q369)-SUM(R369:U369))</f>
      </c>
      <c r="W369" s="43">
        <f>IF($B369="","",IF(L369="","⚠ Basic salary missing",IF(SUM(R369:U369)&gt;SUM(L369:Q369),"⚠ Deductions exceed earnings",IF(COUNTIF($A$4:$A$1003,$A369)&gt;1,"⚠ Duplicate ID","✓"))))</f>
      </c>
    </row>
    <row r="370" spans="22:23" x14ac:dyDescent="0.25">
      <c r="V370" s="42">
        <f>IF($B370="","",SUM(L370:Q370)-SUM(R370:U370))</f>
      </c>
      <c r="W370" s="43">
        <f>IF($B370="","",IF(L370="","⚠ Basic salary missing",IF(SUM(R370:U370)&gt;SUM(L370:Q370),"⚠ Deductions exceed earnings",IF(COUNTIF($A$4:$A$1003,$A370)&gt;1,"⚠ Duplicate ID","✓"))))</f>
      </c>
    </row>
    <row r="371" spans="22:23" x14ac:dyDescent="0.25">
      <c r="V371" s="42">
        <f>IF($B371="","",SUM(L371:Q371)-SUM(R371:U371))</f>
      </c>
      <c r="W371" s="43">
        <f>IF($B371="","",IF(L371="","⚠ Basic salary missing",IF(SUM(R371:U371)&gt;SUM(L371:Q371),"⚠ Deductions exceed earnings",IF(COUNTIF($A$4:$A$1003,$A371)&gt;1,"⚠ Duplicate ID","✓"))))</f>
      </c>
    </row>
    <row r="372" spans="22:23" x14ac:dyDescent="0.25">
      <c r="V372" s="42">
        <f>IF($B372="","",SUM(L372:Q372)-SUM(R372:U372))</f>
      </c>
      <c r="W372" s="43">
        <f>IF($B372="","",IF(L372="","⚠ Basic salary missing",IF(SUM(R372:U372)&gt;SUM(L372:Q372),"⚠ Deductions exceed earnings",IF(COUNTIF($A$4:$A$1003,$A372)&gt;1,"⚠ Duplicate ID","✓"))))</f>
      </c>
    </row>
    <row r="373" spans="22:23" x14ac:dyDescent="0.25">
      <c r="V373" s="42">
        <f>IF($B373="","",SUM(L373:Q373)-SUM(R373:U373))</f>
      </c>
      <c r="W373" s="43">
        <f>IF($B373="","",IF(L373="","⚠ Basic salary missing",IF(SUM(R373:U373)&gt;SUM(L373:Q373),"⚠ Deductions exceed earnings",IF(COUNTIF($A$4:$A$1003,$A373)&gt;1,"⚠ Duplicate ID","✓"))))</f>
      </c>
    </row>
    <row r="374" spans="22:23" x14ac:dyDescent="0.25">
      <c r="V374" s="42">
        <f>IF($B374="","",SUM(L374:Q374)-SUM(R374:U374))</f>
      </c>
      <c r="W374" s="43">
        <f>IF($B374="","",IF(L374="","⚠ Basic salary missing",IF(SUM(R374:U374)&gt;SUM(L374:Q374),"⚠ Deductions exceed earnings",IF(COUNTIF($A$4:$A$1003,$A374)&gt;1,"⚠ Duplicate ID","✓"))))</f>
      </c>
    </row>
    <row r="375" spans="22:23" x14ac:dyDescent="0.25">
      <c r="V375" s="42">
        <f>IF($B375="","",SUM(L375:Q375)-SUM(R375:U375))</f>
      </c>
      <c r="W375" s="43">
        <f>IF($B375="","",IF(L375="","⚠ Basic salary missing",IF(SUM(R375:U375)&gt;SUM(L375:Q375),"⚠ Deductions exceed earnings",IF(COUNTIF($A$4:$A$1003,$A375)&gt;1,"⚠ Duplicate ID","✓"))))</f>
      </c>
    </row>
    <row r="376" spans="22:23" x14ac:dyDescent="0.25">
      <c r="V376" s="42">
        <f>IF($B376="","",SUM(L376:Q376)-SUM(R376:U376))</f>
      </c>
      <c r="W376" s="43">
        <f>IF($B376="","",IF(L376="","⚠ Basic salary missing",IF(SUM(R376:U376)&gt;SUM(L376:Q376),"⚠ Deductions exceed earnings",IF(COUNTIF($A$4:$A$1003,$A376)&gt;1,"⚠ Duplicate ID","✓"))))</f>
      </c>
    </row>
    <row r="377" spans="22:23" x14ac:dyDescent="0.25">
      <c r="V377" s="42">
        <f>IF($B377="","",SUM(L377:Q377)-SUM(R377:U377))</f>
      </c>
      <c r="W377" s="43">
        <f>IF($B377="","",IF(L377="","⚠ Basic salary missing",IF(SUM(R377:U377)&gt;SUM(L377:Q377),"⚠ Deductions exceed earnings",IF(COUNTIF($A$4:$A$1003,$A377)&gt;1,"⚠ Duplicate ID","✓"))))</f>
      </c>
    </row>
    <row r="378" spans="22:23" x14ac:dyDescent="0.25">
      <c r="V378" s="42">
        <f>IF($B378="","",SUM(L378:Q378)-SUM(R378:U378))</f>
      </c>
      <c r="W378" s="43">
        <f>IF($B378="","",IF(L378="","⚠ Basic salary missing",IF(SUM(R378:U378)&gt;SUM(L378:Q378),"⚠ Deductions exceed earnings",IF(COUNTIF($A$4:$A$1003,$A378)&gt;1,"⚠ Duplicate ID","✓"))))</f>
      </c>
    </row>
    <row r="379" spans="22:23" x14ac:dyDescent="0.25">
      <c r="V379" s="42">
        <f>IF($B379="","",SUM(L379:Q379)-SUM(R379:U379))</f>
      </c>
      <c r="W379" s="43">
        <f>IF($B379="","",IF(L379="","⚠ Basic salary missing",IF(SUM(R379:U379)&gt;SUM(L379:Q379),"⚠ Deductions exceed earnings",IF(COUNTIF($A$4:$A$1003,$A379)&gt;1,"⚠ Duplicate ID","✓"))))</f>
      </c>
    </row>
    <row r="380" spans="22:23" x14ac:dyDescent="0.25">
      <c r="V380" s="42">
        <f>IF($B380="","",SUM(L380:Q380)-SUM(R380:U380))</f>
      </c>
      <c r="W380" s="43">
        <f>IF($B380="","",IF(L380="","⚠ Basic salary missing",IF(SUM(R380:U380)&gt;SUM(L380:Q380),"⚠ Deductions exceed earnings",IF(COUNTIF($A$4:$A$1003,$A380)&gt;1,"⚠ Duplicate ID","✓"))))</f>
      </c>
    </row>
    <row r="381" spans="22:23" x14ac:dyDescent="0.25">
      <c r="V381" s="42">
        <f>IF($B381="","",SUM(L381:Q381)-SUM(R381:U381))</f>
      </c>
      <c r="W381" s="43">
        <f>IF($B381="","",IF(L381="","⚠ Basic salary missing",IF(SUM(R381:U381)&gt;SUM(L381:Q381),"⚠ Deductions exceed earnings",IF(COUNTIF($A$4:$A$1003,$A381)&gt;1,"⚠ Duplicate ID","✓"))))</f>
      </c>
    </row>
    <row r="382" spans="22:23" x14ac:dyDescent="0.25">
      <c r="V382" s="42">
        <f>IF($B382="","",SUM(L382:Q382)-SUM(R382:U382))</f>
      </c>
      <c r="W382" s="43">
        <f>IF($B382="","",IF(L382="","⚠ Basic salary missing",IF(SUM(R382:U382)&gt;SUM(L382:Q382),"⚠ Deductions exceed earnings",IF(COUNTIF($A$4:$A$1003,$A382)&gt;1,"⚠ Duplicate ID","✓"))))</f>
      </c>
    </row>
    <row r="383" spans="22:23" x14ac:dyDescent="0.25">
      <c r="V383" s="42">
        <f>IF($B383="","",SUM(L383:Q383)-SUM(R383:U383))</f>
      </c>
      <c r="W383" s="43">
        <f>IF($B383="","",IF(L383="","⚠ Basic salary missing",IF(SUM(R383:U383)&gt;SUM(L383:Q383),"⚠ Deductions exceed earnings",IF(COUNTIF($A$4:$A$1003,$A383)&gt;1,"⚠ Duplicate ID","✓"))))</f>
      </c>
    </row>
    <row r="384" spans="22:23" x14ac:dyDescent="0.25">
      <c r="V384" s="42">
        <f>IF($B384="","",SUM(L384:Q384)-SUM(R384:U384))</f>
      </c>
      <c r="W384" s="43">
        <f>IF($B384="","",IF(L384="","⚠ Basic salary missing",IF(SUM(R384:U384)&gt;SUM(L384:Q384),"⚠ Deductions exceed earnings",IF(COUNTIF($A$4:$A$1003,$A384)&gt;1,"⚠ Duplicate ID","✓"))))</f>
      </c>
    </row>
    <row r="385" spans="22:23" x14ac:dyDescent="0.25">
      <c r="V385" s="42">
        <f>IF($B385="","",SUM(L385:Q385)-SUM(R385:U385))</f>
      </c>
      <c r="W385" s="43">
        <f>IF($B385="","",IF(L385="","⚠ Basic salary missing",IF(SUM(R385:U385)&gt;SUM(L385:Q385),"⚠ Deductions exceed earnings",IF(COUNTIF($A$4:$A$1003,$A385)&gt;1,"⚠ Duplicate ID","✓"))))</f>
      </c>
    </row>
    <row r="386" spans="22:23" x14ac:dyDescent="0.25">
      <c r="V386" s="42">
        <f>IF($B386="","",SUM(L386:Q386)-SUM(R386:U386))</f>
      </c>
      <c r="W386" s="43">
        <f>IF($B386="","",IF(L386="","⚠ Basic salary missing",IF(SUM(R386:U386)&gt;SUM(L386:Q386),"⚠ Deductions exceed earnings",IF(COUNTIF($A$4:$A$1003,$A386)&gt;1,"⚠ Duplicate ID","✓"))))</f>
      </c>
    </row>
    <row r="387" spans="22:23" x14ac:dyDescent="0.25">
      <c r="V387" s="42">
        <f>IF($B387="","",SUM(L387:Q387)-SUM(R387:U387))</f>
      </c>
      <c r="W387" s="43">
        <f>IF($B387="","",IF(L387="","⚠ Basic salary missing",IF(SUM(R387:U387)&gt;SUM(L387:Q387),"⚠ Deductions exceed earnings",IF(COUNTIF($A$4:$A$1003,$A387)&gt;1,"⚠ Duplicate ID","✓"))))</f>
      </c>
    </row>
    <row r="388" spans="22:23" x14ac:dyDescent="0.25">
      <c r="V388" s="42">
        <f>IF($B388="","",SUM(L388:Q388)-SUM(R388:U388))</f>
      </c>
      <c r="W388" s="43">
        <f>IF($B388="","",IF(L388="","⚠ Basic salary missing",IF(SUM(R388:U388)&gt;SUM(L388:Q388),"⚠ Deductions exceed earnings",IF(COUNTIF($A$4:$A$1003,$A388)&gt;1,"⚠ Duplicate ID","✓"))))</f>
      </c>
    </row>
    <row r="389" spans="22:23" x14ac:dyDescent="0.25">
      <c r="V389" s="42">
        <f>IF($B389="","",SUM(L389:Q389)-SUM(R389:U389))</f>
      </c>
      <c r="W389" s="43">
        <f>IF($B389="","",IF(L389="","⚠ Basic salary missing",IF(SUM(R389:U389)&gt;SUM(L389:Q389),"⚠ Deductions exceed earnings",IF(COUNTIF($A$4:$A$1003,$A389)&gt;1,"⚠ Duplicate ID","✓"))))</f>
      </c>
    </row>
    <row r="390" spans="22:23" x14ac:dyDescent="0.25">
      <c r="V390" s="42">
        <f>IF($B390="","",SUM(L390:Q390)-SUM(R390:U390))</f>
      </c>
      <c r="W390" s="43">
        <f>IF($B390="","",IF(L390="","⚠ Basic salary missing",IF(SUM(R390:U390)&gt;SUM(L390:Q390),"⚠ Deductions exceed earnings",IF(COUNTIF($A$4:$A$1003,$A390)&gt;1,"⚠ Duplicate ID","✓"))))</f>
      </c>
    </row>
    <row r="391" spans="22:23" x14ac:dyDescent="0.25">
      <c r="V391" s="42">
        <f>IF($B391="","",SUM(L391:Q391)-SUM(R391:U391))</f>
      </c>
      <c r="W391" s="43">
        <f>IF($B391="","",IF(L391="","⚠ Basic salary missing",IF(SUM(R391:U391)&gt;SUM(L391:Q391),"⚠ Deductions exceed earnings",IF(COUNTIF($A$4:$A$1003,$A391)&gt;1,"⚠ Duplicate ID","✓"))))</f>
      </c>
    </row>
    <row r="392" spans="22:23" x14ac:dyDescent="0.25">
      <c r="V392" s="42">
        <f>IF($B392="","",SUM(L392:Q392)-SUM(R392:U392))</f>
      </c>
      <c r="W392" s="43">
        <f>IF($B392="","",IF(L392="","⚠ Basic salary missing",IF(SUM(R392:U392)&gt;SUM(L392:Q392),"⚠ Deductions exceed earnings",IF(COUNTIF($A$4:$A$1003,$A392)&gt;1,"⚠ Duplicate ID","✓"))))</f>
      </c>
    </row>
    <row r="393" spans="22:23" x14ac:dyDescent="0.25">
      <c r="V393" s="42">
        <f>IF($B393="","",SUM(L393:Q393)-SUM(R393:U393))</f>
      </c>
      <c r="W393" s="43">
        <f>IF($B393="","",IF(L393="","⚠ Basic salary missing",IF(SUM(R393:U393)&gt;SUM(L393:Q393),"⚠ Deductions exceed earnings",IF(COUNTIF($A$4:$A$1003,$A393)&gt;1,"⚠ Duplicate ID","✓"))))</f>
      </c>
    </row>
    <row r="394" spans="22:23" x14ac:dyDescent="0.25">
      <c r="V394" s="42">
        <f>IF($B394="","",SUM(L394:Q394)-SUM(R394:U394))</f>
      </c>
      <c r="W394" s="43">
        <f>IF($B394="","",IF(L394="","⚠ Basic salary missing",IF(SUM(R394:U394)&gt;SUM(L394:Q394),"⚠ Deductions exceed earnings",IF(COUNTIF($A$4:$A$1003,$A394)&gt;1,"⚠ Duplicate ID","✓"))))</f>
      </c>
    </row>
    <row r="395" spans="22:23" x14ac:dyDescent="0.25">
      <c r="V395" s="42">
        <f>IF($B395="","",SUM(L395:Q395)-SUM(R395:U395))</f>
      </c>
      <c r="W395" s="43">
        <f>IF($B395="","",IF(L395="","⚠ Basic salary missing",IF(SUM(R395:U395)&gt;SUM(L395:Q395),"⚠ Deductions exceed earnings",IF(COUNTIF($A$4:$A$1003,$A395)&gt;1,"⚠ Duplicate ID","✓"))))</f>
      </c>
    </row>
    <row r="396" spans="22:23" x14ac:dyDescent="0.25">
      <c r="V396" s="42">
        <f>IF($B396="","",SUM(L396:Q396)-SUM(R396:U396))</f>
      </c>
      <c r="W396" s="43">
        <f>IF($B396="","",IF(L396="","⚠ Basic salary missing",IF(SUM(R396:U396)&gt;SUM(L396:Q396),"⚠ Deductions exceed earnings",IF(COUNTIF($A$4:$A$1003,$A396)&gt;1,"⚠ Duplicate ID","✓"))))</f>
      </c>
    </row>
    <row r="397" spans="22:23" x14ac:dyDescent="0.25">
      <c r="V397" s="42">
        <f>IF($B397="","",SUM(L397:Q397)-SUM(R397:U397))</f>
      </c>
      <c r="W397" s="43">
        <f>IF($B397="","",IF(L397="","⚠ Basic salary missing",IF(SUM(R397:U397)&gt;SUM(L397:Q397),"⚠ Deductions exceed earnings",IF(COUNTIF($A$4:$A$1003,$A397)&gt;1,"⚠ Duplicate ID","✓"))))</f>
      </c>
    </row>
    <row r="398" spans="22:23" x14ac:dyDescent="0.25">
      <c r="V398" s="42">
        <f>IF($B398="","",SUM(L398:Q398)-SUM(R398:U398))</f>
      </c>
      <c r="W398" s="43">
        <f>IF($B398="","",IF(L398="","⚠ Basic salary missing",IF(SUM(R398:U398)&gt;SUM(L398:Q398),"⚠ Deductions exceed earnings",IF(COUNTIF($A$4:$A$1003,$A398)&gt;1,"⚠ Duplicate ID","✓"))))</f>
      </c>
    </row>
    <row r="399" spans="22:23" x14ac:dyDescent="0.25">
      <c r="V399" s="42">
        <f>IF($B399="","",SUM(L399:Q399)-SUM(R399:U399))</f>
      </c>
      <c r="W399" s="43">
        <f>IF($B399="","",IF(L399="","⚠ Basic salary missing",IF(SUM(R399:U399)&gt;SUM(L399:Q399),"⚠ Deductions exceed earnings",IF(COUNTIF($A$4:$A$1003,$A399)&gt;1,"⚠ Duplicate ID","✓"))))</f>
      </c>
    </row>
    <row r="400" spans="22:23" x14ac:dyDescent="0.25">
      <c r="V400" s="42">
        <f>IF($B400="","",SUM(L400:Q400)-SUM(R400:U400))</f>
      </c>
      <c r="W400" s="43">
        <f>IF($B400="","",IF(L400="","⚠ Basic salary missing",IF(SUM(R400:U400)&gt;SUM(L400:Q400),"⚠ Deductions exceed earnings",IF(COUNTIF($A$4:$A$1003,$A400)&gt;1,"⚠ Duplicate ID","✓"))))</f>
      </c>
    </row>
    <row r="401" spans="22:23" x14ac:dyDescent="0.25">
      <c r="V401" s="42">
        <f>IF($B401="","",SUM(L401:Q401)-SUM(R401:U401))</f>
      </c>
      <c r="W401" s="43">
        <f>IF($B401="","",IF(L401="","⚠ Basic salary missing",IF(SUM(R401:U401)&gt;SUM(L401:Q401),"⚠ Deductions exceed earnings",IF(COUNTIF($A$4:$A$1003,$A401)&gt;1,"⚠ Duplicate ID","✓"))))</f>
      </c>
    </row>
    <row r="402" spans="22:23" x14ac:dyDescent="0.25">
      <c r="V402" s="42">
        <f>IF($B402="","",SUM(L402:Q402)-SUM(R402:U402))</f>
      </c>
      <c r="W402" s="43">
        <f>IF($B402="","",IF(L402="","⚠ Basic salary missing",IF(SUM(R402:U402)&gt;SUM(L402:Q402),"⚠ Deductions exceed earnings",IF(COUNTIF($A$4:$A$1003,$A402)&gt;1,"⚠ Duplicate ID","✓"))))</f>
      </c>
    </row>
    <row r="403" spans="22:23" x14ac:dyDescent="0.25">
      <c r="V403" s="42">
        <f>IF($B403="","",SUM(L403:Q403)-SUM(R403:U403))</f>
      </c>
      <c r="W403" s="43">
        <f>IF($B403="","",IF(L403="","⚠ Basic salary missing",IF(SUM(R403:U403)&gt;SUM(L403:Q403),"⚠ Deductions exceed earnings",IF(COUNTIF($A$4:$A$1003,$A403)&gt;1,"⚠ Duplicate ID","✓"))))</f>
      </c>
    </row>
    <row r="404" spans="22:23" x14ac:dyDescent="0.25">
      <c r="V404" s="42">
        <f>IF($B404="","",SUM(L404:Q404)-SUM(R404:U404))</f>
      </c>
      <c r="W404" s="43">
        <f>IF($B404="","",IF(L404="","⚠ Basic salary missing",IF(SUM(R404:U404)&gt;SUM(L404:Q404),"⚠ Deductions exceed earnings",IF(COUNTIF($A$4:$A$1003,$A404)&gt;1,"⚠ Duplicate ID","✓"))))</f>
      </c>
    </row>
    <row r="405" spans="22:23" x14ac:dyDescent="0.25">
      <c r="V405" s="42">
        <f>IF($B405="","",SUM(L405:Q405)-SUM(R405:U405))</f>
      </c>
      <c r="W405" s="43">
        <f>IF($B405="","",IF(L405="","⚠ Basic salary missing",IF(SUM(R405:U405)&gt;SUM(L405:Q405),"⚠ Deductions exceed earnings",IF(COUNTIF($A$4:$A$1003,$A405)&gt;1,"⚠ Duplicate ID","✓"))))</f>
      </c>
    </row>
    <row r="406" spans="22:23" x14ac:dyDescent="0.25">
      <c r="V406" s="42">
        <f>IF($B406="","",SUM(L406:Q406)-SUM(R406:U406))</f>
      </c>
      <c r="W406" s="43">
        <f>IF($B406="","",IF(L406="","⚠ Basic salary missing",IF(SUM(R406:U406)&gt;SUM(L406:Q406),"⚠ Deductions exceed earnings",IF(COUNTIF($A$4:$A$1003,$A406)&gt;1,"⚠ Duplicate ID","✓"))))</f>
      </c>
    </row>
    <row r="407" spans="22:23" x14ac:dyDescent="0.25">
      <c r="V407" s="42">
        <f>IF($B407="","",SUM(L407:Q407)-SUM(R407:U407))</f>
      </c>
      <c r="W407" s="43">
        <f>IF($B407="","",IF(L407="","⚠ Basic salary missing",IF(SUM(R407:U407)&gt;SUM(L407:Q407),"⚠ Deductions exceed earnings",IF(COUNTIF($A$4:$A$1003,$A407)&gt;1,"⚠ Duplicate ID","✓"))))</f>
      </c>
    </row>
    <row r="408" spans="22:23" x14ac:dyDescent="0.25">
      <c r="V408" s="42">
        <f>IF($B408="","",SUM(L408:Q408)-SUM(R408:U408))</f>
      </c>
      <c r="W408" s="43">
        <f>IF($B408="","",IF(L408="","⚠ Basic salary missing",IF(SUM(R408:U408)&gt;SUM(L408:Q408),"⚠ Deductions exceed earnings",IF(COUNTIF($A$4:$A$1003,$A408)&gt;1,"⚠ Duplicate ID","✓"))))</f>
      </c>
    </row>
    <row r="409" spans="22:23" x14ac:dyDescent="0.25">
      <c r="V409" s="42">
        <f>IF($B409="","",SUM(L409:Q409)-SUM(R409:U409))</f>
      </c>
      <c r="W409" s="43">
        <f>IF($B409="","",IF(L409="","⚠ Basic salary missing",IF(SUM(R409:U409)&gt;SUM(L409:Q409),"⚠ Deductions exceed earnings",IF(COUNTIF($A$4:$A$1003,$A409)&gt;1,"⚠ Duplicate ID","✓"))))</f>
      </c>
    </row>
    <row r="410" spans="22:23" x14ac:dyDescent="0.25">
      <c r="V410" s="42">
        <f>IF($B410="","",SUM(L410:Q410)-SUM(R410:U410))</f>
      </c>
      <c r="W410" s="43">
        <f>IF($B410="","",IF(L410="","⚠ Basic salary missing",IF(SUM(R410:U410)&gt;SUM(L410:Q410),"⚠ Deductions exceed earnings",IF(COUNTIF($A$4:$A$1003,$A410)&gt;1,"⚠ Duplicate ID","✓"))))</f>
      </c>
    </row>
    <row r="411" spans="22:23" x14ac:dyDescent="0.25">
      <c r="V411" s="42">
        <f>IF($B411="","",SUM(L411:Q411)-SUM(R411:U411))</f>
      </c>
      <c r="W411" s="43">
        <f>IF($B411="","",IF(L411="","⚠ Basic salary missing",IF(SUM(R411:U411)&gt;SUM(L411:Q411),"⚠ Deductions exceed earnings",IF(COUNTIF($A$4:$A$1003,$A411)&gt;1,"⚠ Duplicate ID","✓"))))</f>
      </c>
    </row>
    <row r="412" spans="22:23" x14ac:dyDescent="0.25">
      <c r="V412" s="42">
        <f>IF($B412="","",SUM(L412:Q412)-SUM(R412:U412))</f>
      </c>
      <c r="W412" s="43">
        <f>IF($B412="","",IF(L412="","⚠ Basic salary missing",IF(SUM(R412:U412)&gt;SUM(L412:Q412),"⚠ Deductions exceed earnings",IF(COUNTIF($A$4:$A$1003,$A412)&gt;1,"⚠ Duplicate ID","✓"))))</f>
      </c>
    </row>
    <row r="413" spans="22:23" x14ac:dyDescent="0.25">
      <c r="V413" s="42">
        <f>IF($B413="","",SUM(L413:Q413)-SUM(R413:U413))</f>
      </c>
      <c r="W413" s="43">
        <f>IF($B413="","",IF(L413="","⚠ Basic salary missing",IF(SUM(R413:U413)&gt;SUM(L413:Q413),"⚠ Deductions exceed earnings",IF(COUNTIF($A$4:$A$1003,$A413)&gt;1,"⚠ Duplicate ID","✓"))))</f>
      </c>
    </row>
    <row r="414" spans="22:23" x14ac:dyDescent="0.25">
      <c r="V414" s="42">
        <f>IF($B414="","",SUM(L414:Q414)-SUM(R414:U414))</f>
      </c>
      <c r="W414" s="43">
        <f>IF($B414="","",IF(L414="","⚠ Basic salary missing",IF(SUM(R414:U414)&gt;SUM(L414:Q414),"⚠ Deductions exceed earnings",IF(COUNTIF($A$4:$A$1003,$A414)&gt;1,"⚠ Duplicate ID","✓"))))</f>
      </c>
    </row>
    <row r="415" spans="22:23" x14ac:dyDescent="0.25">
      <c r="V415" s="42">
        <f>IF($B415="","",SUM(L415:Q415)-SUM(R415:U415))</f>
      </c>
      <c r="W415" s="43">
        <f>IF($B415="","",IF(L415="","⚠ Basic salary missing",IF(SUM(R415:U415)&gt;SUM(L415:Q415),"⚠ Deductions exceed earnings",IF(COUNTIF($A$4:$A$1003,$A415)&gt;1,"⚠ Duplicate ID","✓"))))</f>
      </c>
    </row>
    <row r="416" spans="22:23" x14ac:dyDescent="0.25">
      <c r="V416" s="42">
        <f>IF($B416="","",SUM(L416:Q416)-SUM(R416:U416))</f>
      </c>
      <c r="W416" s="43">
        <f>IF($B416="","",IF(L416="","⚠ Basic salary missing",IF(SUM(R416:U416)&gt;SUM(L416:Q416),"⚠ Deductions exceed earnings",IF(COUNTIF($A$4:$A$1003,$A416)&gt;1,"⚠ Duplicate ID","✓"))))</f>
      </c>
    </row>
    <row r="417" spans="22:23" x14ac:dyDescent="0.25">
      <c r="V417" s="42">
        <f>IF($B417="","",SUM(L417:Q417)-SUM(R417:U417))</f>
      </c>
      <c r="W417" s="43">
        <f>IF($B417="","",IF(L417="","⚠ Basic salary missing",IF(SUM(R417:U417)&gt;SUM(L417:Q417),"⚠ Deductions exceed earnings",IF(COUNTIF($A$4:$A$1003,$A417)&gt;1,"⚠ Duplicate ID","✓"))))</f>
      </c>
    </row>
    <row r="418" spans="22:23" x14ac:dyDescent="0.25">
      <c r="V418" s="42">
        <f>IF($B418="","",SUM(L418:Q418)-SUM(R418:U418))</f>
      </c>
      <c r="W418" s="43">
        <f>IF($B418="","",IF(L418="","⚠ Basic salary missing",IF(SUM(R418:U418)&gt;SUM(L418:Q418),"⚠ Deductions exceed earnings",IF(COUNTIF($A$4:$A$1003,$A418)&gt;1,"⚠ Duplicate ID","✓"))))</f>
      </c>
    </row>
    <row r="419" spans="22:23" x14ac:dyDescent="0.25">
      <c r="V419" s="42">
        <f>IF($B419="","",SUM(L419:Q419)-SUM(R419:U419))</f>
      </c>
      <c r="W419" s="43">
        <f>IF($B419="","",IF(L419="","⚠ Basic salary missing",IF(SUM(R419:U419)&gt;SUM(L419:Q419),"⚠ Deductions exceed earnings",IF(COUNTIF($A$4:$A$1003,$A419)&gt;1,"⚠ Duplicate ID","✓"))))</f>
      </c>
    </row>
    <row r="420" spans="22:23" x14ac:dyDescent="0.25">
      <c r="V420" s="42">
        <f>IF($B420="","",SUM(L420:Q420)-SUM(R420:U420))</f>
      </c>
      <c r="W420" s="43">
        <f>IF($B420="","",IF(L420="","⚠ Basic salary missing",IF(SUM(R420:U420)&gt;SUM(L420:Q420),"⚠ Deductions exceed earnings",IF(COUNTIF($A$4:$A$1003,$A420)&gt;1,"⚠ Duplicate ID","✓"))))</f>
      </c>
    </row>
    <row r="421" spans="22:23" x14ac:dyDescent="0.25">
      <c r="V421" s="42">
        <f>IF($B421="","",SUM(L421:Q421)-SUM(R421:U421))</f>
      </c>
      <c r="W421" s="43">
        <f>IF($B421="","",IF(L421="","⚠ Basic salary missing",IF(SUM(R421:U421)&gt;SUM(L421:Q421),"⚠ Deductions exceed earnings",IF(COUNTIF($A$4:$A$1003,$A421)&gt;1,"⚠ Duplicate ID","✓"))))</f>
      </c>
    </row>
    <row r="422" spans="22:23" x14ac:dyDescent="0.25">
      <c r="V422" s="42">
        <f>IF($B422="","",SUM(L422:Q422)-SUM(R422:U422))</f>
      </c>
      <c r="W422" s="43">
        <f>IF($B422="","",IF(L422="","⚠ Basic salary missing",IF(SUM(R422:U422)&gt;SUM(L422:Q422),"⚠ Deductions exceed earnings",IF(COUNTIF($A$4:$A$1003,$A422)&gt;1,"⚠ Duplicate ID","✓"))))</f>
      </c>
    </row>
    <row r="423" spans="22:23" x14ac:dyDescent="0.25">
      <c r="V423" s="42">
        <f>IF($B423="","",SUM(L423:Q423)-SUM(R423:U423))</f>
      </c>
      <c r="W423" s="43">
        <f>IF($B423="","",IF(L423="","⚠ Basic salary missing",IF(SUM(R423:U423)&gt;SUM(L423:Q423),"⚠ Deductions exceed earnings",IF(COUNTIF($A$4:$A$1003,$A423)&gt;1,"⚠ Duplicate ID","✓"))))</f>
      </c>
    </row>
    <row r="424" spans="22:23" x14ac:dyDescent="0.25">
      <c r="V424" s="42">
        <f>IF($B424="","",SUM(L424:Q424)-SUM(R424:U424))</f>
      </c>
      <c r="W424" s="43">
        <f>IF($B424="","",IF(L424="","⚠ Basic salary missing",IF(SUM(R424:U424)&gt;SUM(L424:Q424),"⚠ Deductions exceed earnings",IF(COUNTIF($A$4:$A$1003,$A424)&gt;1,"⚠ Duplicate ID","✓"))))</f>
      </c>
    </row>
    <row r="425" spans="22:23" x14ac:dyDescent="0.25">
      <c r="V425" s="42">
        <f>IF($B425="","",SUM(L425:Q425)-SUM(R425:U425))</f>
      </c>
      <c r="W425" s="43">
        <f>IF($B425="","",IF(L425="","⚠ Basic salary missing",IF(SUM(R425:U425)&gt;SUM(L425:Q425),"⚠ Deductions exceed earnings",IF(COUNTIF($A$4:$A$1003,$A425)&gt;1,"⚠ Duplicate ID","✓"))))</f>
      </c>
    </row>
    <row r="426" spans="22:23" x14ac:dyDescent="0.25">
      <c r="V426" s="42">
        <f>IF($B426="","",SUM(L426:Q426)-SUM(R426:U426))</f>
      </c>
      <c r="W426" s="43">
        <f>IF($B426="","",IF(L426="","⚠ Basic salary missing",IF(SUM(R426:U426)&gt;SUM(L426:Q426),"⚠ Deductions exceed earnings",IF(COUNTIF($A$4:$A$1003,$A426)&gt;1,"⚠ Duplicate ID","✓"))))</f>
      </c>
    </row>
    <row r="427" spans="22:23" x14ac:dyDescent="0.25">
      <c r="V427" s="42">
        <f>IF($B427="","",SUM(L427:Q427)-SUM(R427:U427))</f>
      </c>
      <c r="W427" s="43">
        <f>IF($B427="","",IF(L427="","⚠ Basic salary missing",IF(SUM(R427:U427)&gt;SUM(L427:Q427),"⚠ Deductions exceed earnings",IF(COUNTIF($A$4:$A$1003,$A427)&gt;1,"⚠ Duplicate ID","✓"))))</f>
      </c>
    </row>
    <row r="428" spans="22:23" x14ac:dyDescent="0.25">
      <c r="V428" s="42">
        <f>IF($B428="","",SUM(L428:Q428)-SUM(R428:U428))</f>
      </c>
      <c r="W428" s="43">
        <f>IF($B428="","",IF(L428="","⚠ Basic salary missing",IF(SUM(R428:U428)&gt;SUM(L428:Q428),"⚠ Deductions exceed earnings",IF(COUNTIF($A$4:$A$1003,$A428)&gt;1,"⚠ Duplicate ID","✓"))))</f>
      </c>
    </row>
    <row r="429" spans="22:23" x14ac:dyDescent="0.25">
      <c r="V429" s="42">
        <f>IF($B429="","",SUM(L429:Q429)-SUM(R429:U429))</f>
      </c>
      <c r="W429" s="43">
        <f>IF($B429="","",IF(L429="","⚠ Basic salary missing",IF(SUM(R429:U429)&gt;SUM(L429:Q429),"⚠ Deductions exceed earnings",IF(COUNTIF($A$4:$A$1003,$A429)&gt;1,"⚠ Duplicate ID","✓"))))</f>
      </c>
    </row>
    <row r="430" spans="22:23" x14ac:dyDescent="0.25">
      <c r="V430" s="42">
        <f>IF($B430="","",SUM(L430:Q430)-SUM(R430:U430))</f>
      </c>
      <c r="W430" s="43">
        <f>IF($B430="","",IF(L430="","⚠ Basic salary missing",IF(SUM(R430:U430)&gt;SUM(L430:Q430),"⚠ Deductions exceed earnings",IF(COUNTIF($A$4:$A$1003,$A430)&gt;1,"⚠ Duplicate ID","✓"))))</f>
      </c>
    </row>
    <row r="431" spans="22:23" x14ac:dyDescent="0.25">
      <c r="V431" s="42">
        <f>IF($B431="","",SUM(L431:Q431)-SUM(R431:U431))</f>
      </c>
      <c r="W431" s="43">
        <f>IF($B431="","",IF(L431="","⚠ Basic salary missing",IF(SUM(R431:U431)&gt;SUM(L431:Q431),"⚠ Deductions exceed earnings",IF(COUNTIF($A$4:$A$1003,$A431)&gt;1,"⚠ Duplicate ID","✓"))))</f>
      </c>
    </row>
    <row r="432" spans="22:23" x14ac:dyDescent="0.25">
      <c r="V432" s="42">
        <f>IF($B432="","",SUM(L432:Q432)-SUM(R432:U432))</f>
      </c>
      <c r="W432" s="43">
        <f>IF($B432="","",IF(L432="","⚠ Basic salary missing",IF(SUM(R432:U432)&gt;SUM(L432:Q432),"⚠ Deductions exceed earnings",IF(COUNTIF($A$4:$A$1003,$A432)&gt;1,"⚠ Duplicate ID","✓"))))</f>
      </c>
    </row>
    <row r="433" spans="22:23" x14ac:dyDescent="0.25">
      <c r="V433" s="42">
        <f>IF($B433="","",SUM(L433:Q433)-SUM(R433:U433))</f>
      </c>
      <c r="W433" s="43">
        <f>IF($B433="","",IF(L433="","⚠ Basic salary missing",IF(SUM(R433:U433)&gt;SUM(L433:Q433),"⚠ Deductions exceed earnings",IF(COUNTIF($A$4:$A$1003,$A433)&gt;1,"⚠ Duplicate ID","✓"))))</f>
      </c>
    </row>
    <row r="434" spans="22:23" x14ac:dyDescent="0.25">
      <c r="V434" s="42">
        <f>IF($B434="","",SUM(L434:Q434)-SUM(R434:U434))</f>
      </c>
      <c r="W434" s="43">
        <f>IF($B434="","",IF(L434="","⚠ Basic salary missing",IF(SUM(R434:U434)&gt;SUM(L434:Q434),"⚠ Deductions exceed earnings",IF(COUNTIF($A$4:$A$1003,$A434)&gt;1,"⚠ Duplicate ID","✓"))))</f>
      </c>
    </row>
    <row r="435" spans="22:23" x14ac:dyDescent="0.25">
      <c r="V435" s="42">
        <f>IF($B435="","",SUM(L435:Q435)-SUM(R435:U435))</f>
      </c>
      <c r="W435" s="43">
        <f>IF($B435="","",IF(L435="","⚠ Basic salary missing",IF(SUM(R435:U435)&gt;SUM(L435:Q435),"⚠ Deductions exceed earnings",IF(COUNTIF($A$4:$A$1003,$A435)&gt;1,"⚠ Duplicate ID","✓"))))</f>
      </c>
    </row>
    <row r="436" spans="22:23" x14ac:dyDescent="0.25">
      <c r="V436" s="42">
        <f>IF($B436="","",SUM(L436:Q436)-SUM(R436:U436))</f>
      </c>
      <c r="W436" s="43">
        <f>IF($B436="","",IF(L436="","⚠ Basic salary missing",IF(SUM(R436:U436)&gt;SUM(L436:Q436),"⚠ Deductions exceed earnings",IF(COUNTIF($A$4:$A$1003,$A436)&gt;1,"⚠ Duplicate ID","✓"))))</f>
      </c>
    </row>
    <row r="437" spans="22:23" x14ac:dyDescent="0.25">
      <c r="V437" s="42">
        <f>IF($B437="","",SUM(L437:Q437)-SUM(R437:U437))</f>
      </c>
      <c r="W437" s="43">
        <f>IF($B437="","",IF(L437="","⚠ Basic salary missing",IF(SUM(R437:U437)&gt;SUM(L437:Q437),"⚠ Deductions exceed earnings",IF(COUNTIF($A$4:$A$1003,$A437)&gt;1,"⚠ Duplicate ID","✓"))))</f>
      </c>
    </row>
    <row r="438" spans="22:23" x14ac:dyDescent="0.25">
      <c r="V438" s="42">
        <f>IF($B438="","",SUM(L438:Q438)-SUM(R438:U438))</f>
      </c>
      <c r="W438" s="43">
        <f>IF($B438="","",IF(L438="","⚠ Basic salary missing",IF(SUM(R438:U438)&gt;SUM(L438:Q438),"⚠ Deductions exceed earnings",IF(COUNTIF($A$4:$A$1003,$A438)&gt;1,"⚠ Duplicate ID","✓"))))</f>
      </c>
    </row>
    <row r="439" spans="22:23" x14ac:dyDescent="0.25">
      <c r="V439" s="42">
        <f>IF($B439="","",SUM(L439:Q439)-SUM(R439:U439))</f>
      </c>
      <c r="W439" s="43">
        <f>IF($B439="","",IF(L439="","⚠ Basic salary missing",IF(SUM(R439:U439)&gt;SUM(L439:Q439),"⚠ Deductions exceed earnings",IF(COUNTIF($A$4:$A$1003,$A439)&gt;1,"⚠ Duplicate ID","✓"))))</f>
      </c>
    </row>
    <row r="440" spans="22:23" x14ac:dyDescent="0.25">
      <c r="V440" s="42">
        <f>IF($B440="","",SUM(L440:Q440)-SUM(R440:U440))</f>
      </c>
      <c r="W440" s="43">
        <f>IF($B440="","",IF(L440="","⚠ Basic salary missing",IF(SUM(R440:U440)&gt;SUM(L440:Q440),"⚠ Deductions exceed earnings",IF(COUNTIF($A$4:$A$1003,$A440)&gt;1,"⚠ Duplicate ID","✓"))))</f>
      </c>
    </row>
    <row r="441" spans="22:23" x14ac:dyDescent="0.25">
      <c r="V441" s="42">
        <f>IF($B441="","",SUM(L441:Q441)-SUM(R441:U441))</f>
      </c>
      <c r="W441" s="43">
        <f>IF($B441="","",IF(L441="","⚠ Basic salary missing",IF(SUM(R441:U441)&gt;SUM(L441:Q441),"⚠ Deductions exceed earnings",IF(COUNTIF($A$4:$A$1003,$A441)&gt;1,"⚠ Duplicate ID","✓"))))</f>
      </c>
    </row>
    <row r="442" spans="22:23" x14ac:dyDescent="0.25">
      <c r="V442" s="42">
        <f>IF($B442="","",SUM(L442:Q442)-SUM(R442:U442))</f>
      </c>
      <c r="W442" s="43">
        <f>IF($B442="","",IF(L442="","⚠ Basic salary missing",IF(SUM(R442:U442)&gt;SUM(L442:Q442),"⚠ Deductions exceed earnings",IF(COUNTIF($A$4:$A$1003,$A442)&gt;1,"⚠ Duplicate ID","✓"))))</f>
      </c>
    </row>
    <row r="443" spans="22:23" x14ac:dyDescent="0.25">
      <c r="V443" s="42">
        <f>IF($B443="","",SUM(L443:Q443)-SUM(R443:U443))</f>
      </c>
      <c r="W443" s="43">
        <f>IF($B443="","",IF(L443="","⚠ Basic salary missing",IF(SUM(R443:U443)&gt;SUM(L443:Q443),"⚠ Deductions exceed earnings",IF(COUNTIF($A$4:$A$1003,$A443)&gt;1,"⚠ Duplicate ID","✓"))))</f>
      </c>
    </row>
    <row r="444" spans="22:23" x14ac:dyDescent="0.25">
      <c r="V444" s="42">
        <f>IF($B444="","",SUM(L444:Q444)-SUM(R444:U444))</f>
      </c>
      <c r="W444" s="43">
        <f>IF($B444="","",IF(L444="","⚠ Basic salary missing",IF(SUM(R444:U444)&gt;SUM(L444:Q444),"⚠ Deductions exceed earnings",IF(COUNTIF($A$4:$A$1003,$A444)&gt;1,"⚠ Duplicate ID","✓"))))</f>
      </c>
    </row>
    <row r="445" spans="22:23" x14ac:dyDescent="0.25">
      <c r="V445" s="42">
        <f>IF($B445="","",SUM(L445:Q445)-SUM(R445:U445))</f>
      </c>
      <c r="W445" s="43">
        <f>IF($B445="","",IF(L445="","⚠ Basic salary missing",IF(SUM(R445:U445)&gt;SUM(L445:Q445),"⚠ Deductions exceed earnings",IF(COUNTIF($A$4:$A$1003,$A445)&gt;1,"⚠ Duplicate ID","✓"))))</f>
      </c>
    </row>
    <row r="446" spans="22:23" x14ac:dyDescent="0.25">
      <c r="V446" s="42">
        <f>IF($B446="","",SUM(L446:Q446)-SUM(R446:U446))</f>
      </c>
      <c r="W446" s="43">
        <f>IF($B446="","",IF(L446="","⚠ Basic salary missing",IF(SUM(R446:U446)&gt;SUM(L446:Q446),"⚠ Deductions exceed earnings",IF(COUNTIF($A$4:$A$1003,$A446)&gt;1,"⚠ Duplicate ID","✓"))))</f>
      </c>
    </row>
    <row r="447" spans="22:23" x14ac:dyDescent="0.25">
      <c r="V447" s="42">
        <f>IF($B447="","",SUM(L447:Q447)-SUM(R447:U447))</f>
      </c>
      <c r="W447" s="43">
        <f>IF($B447="","",IF(L447="","⚠ Basic salary missing",IF(SUM(R447:U447)&gt;SUM(L447:Q447),"⚠ Deductions exceed earnings",IF(COUNTIF($A$4:$A$1003,$A447)&gt;1,"⚠ Duplicate ID","✓"))))</f>
      </c>
    </row>
    <row r="448" spans="22:23" x14ac:dyDescent="0.25">
      <c r="V448" s="42">
        <f>IF($B448="","",SUM(L448:Q448)-SUM(R448:U448))</f>
      </c>
      <c r="W448" s="43">
        <f>IF($B448="","",IF(L448="","⚠ Basic salary missing",IF(SUM(R448:U448)&gt;SUM(L448:Q448),"⚠ Deductions exceed earnings",IF(COUNTIF($A$4:$A$1003,$A448)&gt;1,"⚠ Duplicate ID","✓"))))</f>
      </c>
    </row>
    <row r="449" spans="22:23" x14ac:dyDescent="0.25">
      <c r="V449" s="42">
        <f>IF($B449="","",SUM(L449:Q449)-SUM(R449:U449))</f>
      </c>
      <c r="W449" s="43">
        <f>IF($B449="","",IF(L449="","⚠ Basic salary missing",IF(SUM(R449:U449)&gt;SUM(L449:Q449),"⚠ Deductions exceed earnings",IF(COUNTIF($A$4:$A$1003,$A449)&gt;1,"⚠ Duplicate ID","✓"))))</f>
      </c>
    </row>
    <row r="450" spans="22:23" x14ac:dyDescent="0.25">
      <c r="V450" s="42">
        <f>IF($B450="","",SUM(L450:Q450)-SUM(R450:U450))</f>
      </c>
      <c r="W450" s="43">
        <f>IF($B450="","",IF(L450="","⚠ Basic salary missing",IF(SUM(R450:U450)&gt;SUM(L450:Q450),"⚠ Deductions exceed earnings",IF(COUNTIF($A$4:$A$1003,$A450)&gt;1,"⚠ Duplicate ID","✓"))))</f>
      </c>
    </row>
    <row r="451" spans="22:23" x14ac:dyDescent="0.25">
      <c r="V451" s="42">
        <f>IF($B451="","",SUM(L451:Q451)-SUM(R451:U451))</f>
      </c>
      <c r="W451" s="43">
        <f>IF($B451="","",IF(L451="","⚠ Basic salary missing",IF(SUM(R451:U451)&gt;SUM(L451:Q451),"⚠ Deductions exceed earnings",IF(COUNTIF($A$4:$A$1003,$A451)&gt;1,"⚠ Duplicate ID","✓"))))</f>
      </c>
    </row>
    <row r="452" spans="22:23" x14ac:dyDescent="0.25">
      <c r="V452" s="42">
        <f>IF($B452="","",SUM(L452:Q452)-SUM(R452:U452))</f>
      </c>
      <c r="W452" s="43">
        <f>IF($B452="","",IF(L452="","⚠ Basic salary missing",IF(SUM(R452:U452)&gt;SUM(L452:Q452),"⚠ Deductions exceed earnings",IF(COUNTIF($A$4:$A$1003,$A452)&gt;1,"⚠ Duplicate ID","✓"))))</f>
      </c>
    </row>
    <row r="453" spans="22:23" x14ac:dyDescent="0.25">
      <c r="V453" s="42">
        <f>IF($B453="","",SUM(L453:Q453)-SUM(R453:U453))</f>
      </c>
      <c r="W453" s="43">
        <f>IF($B453="","",IF(L453="","⚠ Basic salary missing",IF(SUM(R453:U453)&gt;SUM(L453:Q453),"⚠ Deductions exceed earnings",IF(COUNTIF($A$4:$A$1003,$A453)&gt;1,"⚠ Duplicate ID","✓"))))</f>
      </c>
    </row>
    <row r="454" spans="22:23" x14ac:dyDescent="0.25">
      <c r="V454" s="42">
        <f>IF($B454="","",SUM(L454:Q454)-SUM(R454:U454))</f>
      </c>
      <c r="W454" s="43">
        <f>IF($B454="","",IF(L454="","⚠ Basic salary missing",IF(SUM(R454:U454)&gt;SUM(L454:Q454),"⚠ Deductions exceed earnings",IF(COUNTIF($A$4:$A$1003,$A454)&gt;1,"⚠ Duplicate ID","✓"))))</f>
      </c>
    </row>
    <row r="455" spans="22:23" x14ac:dyDescent="0.25">
      <c r="V455" s="42">
        <f>IF($B455="","",SUM(L455:Q455)-SUM(R455:U455))</f>
      </c>
      <c r="W455" s="43">
        <f>IF($B455="","",IF(L455="","⚠ Basic salary missing",IF(SUM(R455:U455)&gt;SUM(L455:Q455),"⚠ Deductions exceed earnings",IF(COUNTIF($A$4:$A$1003,$A455)&gt;1,"⚠ Duplicate ID","✓"))))</f>
      </c>
    </row>
    <row r="456" spans="22:23" x14ac:dyDescent="0.25">
      <c r="V456" s="42">
        <f>IF($B456="","",SUM(L456:Q456)-SUM(R456:U456))</f>
      </c>
      <c r="W456" s="43">
        <f>IF($B456="","",IF(L456="","⚠ Basic salary missing",IF(SUM(R456:U456)&gt;SUM(L456:Q456),"⚠ Deductions exceed earnings",IF(COUNTIF($A$4:$A$1003,$A456)&gt;1,"⚠ Duplicate ID","✓"))))</f>
      </c>
    </row>
    <row r="457" spans="22:23" x14ac:dyDescent="0.25">
      <c r="V457" s="42">
        <f>IF($B457="","",SUM(L457:Q457)-SUM(R457:U457))</f>
      </c>
      <c r="W457" s="43">
        <f>IF($B457="","",IF(L457="","⚠ Basic salary missing",IF(SUM(R457:U457)&gt;SUM(L457:Q457),"⚠ Deductions exceed earnings",IF(COUNTIF($A$4:$A$1003,$A457)&gt;1,"⚠ Duplicate ID","✓"))))</f>
      </c>
    </row>
    <row r="458" spans="22:23" x14ac:dyDescent="0.25">
      <c r="V458" s="42">
        <f>IF($B458="","",SUM(L458:Q458)-SUM(R458:U458))</f>
      </c>
      <c r="W458" s="43">
        <f>IF($B458="","",IF(L458="","⚠ Basic salary missing",IF(SUM(R458:U458)&gt;SUM(L458:Q458),"⚠ Deductions exceed earnings",IF(COUNTIF($A$4:$A$1003,$A458)&gt;1,"⚠ Duplicate ID","✓"))))</f>
      </c>
    </row>
    <row r="459" spans="22:23" x14ac:dyDescent="0.25">
      <c r="V459" s="42">
        <f>IF($B459="","",SUM(L459:Q459)-SUM(R459:U459))</f>
      </c>
      <c r="W459" s="43">
        <f>IF($B459="","",IF(L459="","⚠ Basic salary missing",IF(SUM(R459:U459)&gt;SUM(L459:Q459),"⚠ Deductions exceed earnings",IF(COUNTIF($A$4:$A$1003,$A459)&gt;1,"⚠ Duplicate ID","✓"))))</f>
      </c>
    </row>
    <row r="460" spans="22:23" x14ac:dyDescent="0.25">
      <c r="V460" s="42">
        <f>IF($B460="","",SUM(L460:Q460)-SUM(R460:U460))</f>
      </c>
      <c r="W460" s="43">
        <f>IF($B460="","",IF(L460="","⚠ Basic salary missing",IF(SUM(R460:U460)&gt;SUM(L460:Q460),"⚠ Deductions exceed earnings",IF(COUNTIF($A$4:$A$1003,$A460)&gt;1,"⚠ Duplicate ID","✓"))))</f>
      </c>
    </row>
    <row r="461" spans="22:23" x14ac:dyDescent="0.25">
      <c r="V461" s="42">
        <f>IF($B461="","",SUM(L461:Q461)-SUM(R461:U461))</f>
      </c>
      <c r="W461" s="43">
        <f>IF($B461="","",IF(L461="","⚠ Basic salary missing",IF(SUM(R461:U461)&gt;SUM(L461:Q461),"⚠ Deductions exceed earnings",IF(COUNTIF($A$4:$A$1003,$A461)&gt;1,"⚠ Duplicate ID","✓"))))</f>
      </c>
    </row>
    <row r="462" spans="22:23" x14ac:dyDescent="0.25">
      <c r="V462" s="42">
        <f>IF($B462="","",SUM(L462:Q462)-SUM(R462:U462))</f>
      </c>
      <c r="W462" s="43">
        <f>IF($B462="","",IF(L462="","⚠ Basic salary missing",IF(SUM(R462:U462)&gt;SUM(L462:Q462),"⚠ Deductions exceed earnings",IF(COUNTIF($A$4:$A$1003,$A462)&gt;1,"⚠ Duplicate ID","✓"))))</f>
      </c>
    </row>
    <row r="463" spans="22:23" x14ac:dyDescent="0.25">
      <c r="V463" s="42">
        <f>IF($B463="","",SUM(L463:Q463)-SUM(R463:U463))</f>
      </c>
      <c r="W463" s="43">
        <f>IF($B463="","",IF(L463="","⚠ Basic salary missing",IF(SUM(R463:U463)&gt;SUM(L463:Q463),"⚠ Deductions exceed earnings",IF(COUNTIF($A$4:$A$1003,$A463)&gt;1,"⚠ Duplicate ID","✓"))))</f>
      </c>
    </row>
    <row r="464" spans="22:23" x14ac:dyDescent="0.25">
      <c r="V464" s="42">
        <f>IF($B464="","",SUM(L464:Q464)-SUM(R464:U464))</f>
      </c>
      <c r="W464" s="43">
        <f>IF($B464="","",IF(L464="","⚠ Basic salary missing",IF(SUM(R464:U464)&gt;SUM(L464:Q464),"⚠ Deductions exceed earnings",IF(COUNTIF($A$4:$A$1003,$A464)&gt;1,"⚠ Duplicate ID","✓"))))</f>
      </c>
    </row>
    <row r="465" spans="22:23" x14ac:dyDescent="0.25">
      <c r="V465" s="42">
        <f>IF($B465="","",SUM(L465:Q465)-SUM(R465:U465))</f>
      </c>
      <c r="W465" s="43">
        <f>IF($B465="","",IF(L465="","⚠ Basic salary missing",IF(SUM(R465:U465)&gt;SUM(L465:Q465),"⚠ Deductions exceed earnings",IF(COUNTIF($A$4:$A$1003,$A465)&gt;1,"⚠ Duplicate ID","✓"))))</f>
      </c>
    </row>
    <row r="466" spans="22:23" x14ac:dyDescent="0.25">
      <c r="V466" s="42">
        <f>IF($B466="","",SUM(L466:Q466)-SUM(R466:U466))</f>
      </c>
      <c r="W466" s="43">
        <f>IF($B466="","",IF(L466="","⚠ Basic salary missing",IF(SUM(R466:U466)&gt;SUM(L466:Q466),"⚠ Deductions exceed earnings",IF(COUNTIF($A$4:$A$1003,$A466)&gt;1,"⚠ Duplicate ID","✓"))))</f>
      </c>
    </row>
    <row r="467" spans="22:23" x14ac:dyDescent="0.25">
      <c r="V467" s="42">
        <f>IF($B467="","",SUM(L467:Q467)-SUM(R467:U467))</f>
      </c>
      <c r="W467" s="43">
        <f>IF($B467="","",IF(L467="","⚠ Basic salary missing",IF(SUM(R467:U467)&gt;SUM(L467:Q467),"⚠ Deductions exceed earnings",IF(COUNTIF($A$4:$A$1003,$A467)&gt;1,"⚠ Duplicate ID","✓"))))</f>
      </c>
    </row>
    <row r="468" spans="22:23" x14ac:dyDescent="0.25">
      <c r="V468" s="42">
        <f>IF($B468="","",SUM(L468:Q468)-SUM(R468:U468))</f>
      </c>
      <c r="W468" s="43">
        <f>IF($B468="","",IF(L468="","⚠ Basic salary missing",IF(SUM(R468:U468)&gt;SUM(L468:Q468),"⚠ Deductions exceed earnings",IF(COUNTIF($A$4:$A$1003,$A468)&gt;1,"⚠ Duplicate ID","✓"))))</f>
      </c>
    </row>
    <row r="469" spans="22:23" x14ac:dyDescent="0.25">
      <c r="V469" s="42">
        <f>IF($B469="","",SUM(L469:Q469)-SUM(R469:U469))</f>
      </c>
      <c r="W469" s="43">
        <f>IF($B469="","",IF(L469="","⚠ Basic salary missing",IF(SUM(R469:U469)&gt;SUM(L469:Q469),"⚠ Deductions exceed earnings",IF(COUNTIF($A$4:$A$1003,$A469)&gt;1,"⚠ Duplicate ID","✓"))))</f>
      </c>
    </row>
    <row r="470" spans="22:23" x14ac:dyDescent="0.25">
      <c r="V470" s="42">
        <f>IF($B470="","",SUM(L470:Q470)-SUM(R470:U470))</f>
      </c>
      <c r="W470" s="43">
        <f>IF($B470="","",IF(L470="","⚠ Basic salary missing",IF(SUM(R470:U470)&gt;SUM(L470:Q470),"⚠ Deductions exceed earnings",IF(COUNTIF($A$4:$A$1003,$A470)&gt;1,"⚠ Duplicate ID","✓"))))</f>
      </c>
    </row>
    <row r="471" spans="22:23" x14ac:dyDescent="0.25">
      <c r="V471" s="42">
        <f>IF($B471="","",SUM(L471:Q471)-SUM(R471:U471))</f>
      </c>
      <c r="W471" s="43">
        <f>IF($B471="","",IF(L471="","⚠ Basic salary missing",IF(SUM(R471:U471)&gt;SUM(L471:Q471),"⚠ Deductions exceed earnings",IF(COUNTIF($A$4:$A$1003,$A471)&gt;1,"⚠ Duplicate ID","✓"))))</f>
      </c>
    </row>
    <row r="472" spans="22:23" x14ac:dyDescent="0.25">
      <c r="V472" s="42">
        <f>IF($B472="","",SUM(L472:Q472)-SUM(R472:U472))</f>
      </c>
      <c r="W472" s="43">
        <f>IF($B472="","",IF(L472="","⚠ Basic salary missing",IF(SUM(R472:U472)&gt;SUM(L472:Q472),"⚠ Deductions exceed earnings",IF(COUNTIF($A$4:$A$1003,$A472)&gt;1,"⚠ Duplicate ID","✓"))))</f>
      </c>
    </row>
    <row r="473" spans="22:23" x14ac:dyDescent="0.25">
      <c r="V473" s="42">
        <f>IF($B473="","",SUM(L473:Q473)-SUM(R473:U473))</f>
      </c>
      <c r="W473" s="43">
        <f>IF($B473="","",IF(L473="","⚠ Basic salary missing",IF(SUM(R473:U473)&gt;SUM(L473:Q473),"⚠ Deductions exceed earnings",IF(COUNTIF($A$4:$A$1003,$A473)&gt;1,"⚠ Duplicate ID","✓"))))</f>
      </c>
    </row>
    <row r="474" spans="22:23" x14ac:dyDescent="0.25">
      <c r="V474" s="42">
        <f>IF($B474="","",SUM(L474:Q474)-SUM(R474:U474))</f>
      </c>
      <c r="W474" s="43">
        <f>IF($B474="","",IF(L474="","⚠ Basic salary missing",IF(SUM(R474:U474)&gt;SUM(L474:Q474),"⚠ Deductions exceed earnings",IF(COUNTIF($A$4:$A$1003,$A474)&gt;1,"⚠ Duplicate ID","✓"))))</f>
      </c>
    </row>
    <row r="475" spans="22:23" x14ac:dyDescent="0.25">
      <c r="V475" s="42">
        <f>IF($B475="","",SUM(L475:Q475)-SUM(R475:U475))</f>
      </c>
      <c r="W475" s="43">
        <f>IF($B475="","",IF(L475="","⚠ Basic salary missing",IF(SUM(R475:U475)&gt;SUM(L475:Q475),"⚠ Deductions exceed earnings",IF(COUNTIF($A$4:$A$1003,$A475)&gt;1,"⚠ Duplicate ID","✓"))))</f>
      </c>
    </row>
    <row r="476" spans="22:23" x14ac:dyDescent="0.25">
      <c r="V476" s="42">
        <f>IF($B476="","",SUM(L476:Q476)-SUM(R476:U476))</f>
      </c>
      <c r="W476" s="43">
        <f>IF($B476="","",IF(L476="","⚠ Basic salary missing",IF(SUM(R476:U476)&gt;SUM(L476:Q476),"⚠ Deductions exceed earnings",IF(COUNTIF($A$4:$A$1003,$A476)&gt;1,"⚠ Duplicate ID","✓"))))</f>
      </c>
    </row>
    <row r="477" spans="22:23" x14ac:dyDescent="0.25">
      <c r="V477" s="42">
        <f>IF($B477="","",SUM(L477:Q477)-SUM(R477:U477))</f>
      </c>
      <c r="W477" s="43">
        <f>IF($B477="","",IF(L477="","⚠ Basic salary missing",IF(SUM(R477:U477)&gt;SUM(L477:Q477),"⚠ Deductions exceed earnings",IF(COUNTIF($A$4:$A$1003,$A477)&gt;1,"⚠ Duplicate ID","✓"))))</f>
      </c>
    </row>
    <row r="478" spans="22:23" x14ac:dyDescent="0.25">
      <c r="V478" s="42">
        <f>IF($B478="","",SUM(L478:Q478)-SUM(R478:U478))</f>
      </c>
      <c r="W478" s="43">
        <f>IF($B478="","",IF(L478="","⚠ Basic salary missing",IF(SUM(R478:U478)&gt;SUM(L478:Q478),"⚠ Deductions exceed earnings",IF(COUNTIF($A$4:$A$1003,$A478)&gt;1,"⚠ Duplicate ID","✓"))))</f>
      </c>
    </row>
    <row r="479" spans="22:23" x14ac:dyDescent="0.25">
      <c r="V479" s="42">
        <f>IF($B479="","",SUM(L479:Q479)-SUM(R479:U479))</f>
      </c>
      <c r="W479" s="43">
        <f>IF($B479="","",IF(L479="","⚠ Basic salary missing",IF(SUM(R479:U479)&gt;SUM(L479:Q479),"⚠ Deductions exceed earnings",IF(COUNTIF($A$4:$A$1003,$A479)&gt;1,"⚠ Duplicate ID","✓"))))</f>
      </c>
    </row>
    <row r="480" spans="22:23" x14ac:dyDescent="0.25">
      <c r="V480" s="42">
        <f>IF($B480="","",SUM(L480:Q480)-SUM(R480:U480))</f>
      </c>
      <c r="W480" s="43">
        <f>IF($B480="","",IF(L480="","⚠ Basic salary missing",IF(SUM(R480:U480)&gt;SUM(L480:Q480),"⚠ Deductions exceed earnings",IF(COUNTIF($A$4:$A$1003,$A480)&gt;1,"⚠ Duplicate ID","✓"))))</f>
      </c>
    </row>
    <row r="481" spans="22:23" x14ac:dyDescent="0.25">
      <c r="V481" s="42">
        <f>IF($B481="","",SUM(L481:Q481)-SUM(R481:U481))</f>
      </c>
      <c r="W481" s="43">
        <f>IF($B481="","",IF(L481="","⚠ Basic salary missing",IF(SUM(R481:U481)&gt;SUM(L481:Q481),"⚠ Deductions exceed earnings",IF(COUNTIF($A$4:$A$1003,$A481)&gt;1,"⚠ Duplicate ID","✓"))))</f>
      </c>
    </row>
    <row r="482" spans="22:23" x14ac:dyDescent="0.25">
      <c r="V482" s="42">
        <f>IF($B482="","",SUM(L482:Q482)-SUM(R482:U482))</f>
      </c>
      <c r="W482" s="43">
        <f>IF($B482="","",IF(L482="","⚠ Basic salary missing",IF(SUM(R482:U482)&gt;SUM(L482:Q482),"⚠ Deductions exceed earnings",IF(COUNTIF($A$4:$A$1003,$A482)&gt;1,"⚠ Duplicate ID","✓"))))</f>
      </c>
    </row>
    <row r="483" spans="22:23" x14ac:dyDescent="0.25">
      <c r="V483" s="42">
        <f>IF($B483="","",SUM(L483:Q483)-SUM(R483:U483))</f>
      </c>
      <c r="W483" s="43">
        <f>IF($B483="","",IF(L483="","⚠ Basic salary missing",IF(SUM(R483:U483)&gt;SUM(L483:Q483),"⚠ Deductions exceed earnings",IF(COUNTIF($A$4:$A$1003,$A483)&gt;1,"⚠ Duplicate ID","✓"))))</f>
      </c>
    </row>
    <row r="484" spans="22:23" x14ac:dyDescent="0.25">
      <c r="V484" s="42">
        <f>IF($B484="","",SUM(L484:Q484)-SUM(R484:U484))</f>
      </c>
      <c r="W484" s="43">
        <f>IF($B484="","",IF(L484="","⚠ Basic salary missing",IF(SUM(R484:U484)&gt;SUM(L484:Q484),"⚠ Deductions exceed earnings",IF(COUNTIF($A$4:$A$1003,$A484)&gt;1,"⚠ Duplicate ID","✓"))))</f>
      </c>
    </row>
    <row r="485" spans="22:23" x14ac:dyDescent="0.25">
      <c r="V485" s="42">
        <f>IF($B485="","",SUM(L485:Q485)-SUM(R485:U485))</f>
      </c>
      <c r="W485" s="43">
        <f>IF($B485="","",IF(L485="","⚠ Basic salary missing",IF(SUM(R485:U485)&gt;SUM(L485:Q485),"⚠ Deductions exceed earnings",IF(COUNTIF($A$4:$A$1003,$A485)&gt;1,"⚠ Duplicate ID","✓"))))</f>
      </c>
    </row>
    <row r="486" spans="22:23" x14ac:dyDescent="0.25">
      <c r="V486" s="42">
        <f>IF($B486="","",SUM(L486:Q486)-SUM(R486:U486))</f>
      </c>
      <c r="W486" s="43">
        <f>IF($B486="","",IF(L486="","⚠ Basic salary missing",IF(SUM(R486:U486)&gt;SUM(L486:Q486),"⚠ Deductions exceed earnings",IF(COUNTIF($A$4:$A$1003,$A486)&gt;1,"⚠ Duplicate ID","✓"))))</f>
      </c>
    </row>
    <row r="487" spans="22:23" x14ac:dyDescent="0.25">
      <c r="V487" s="42">
        <f>IF($B487="","",SUM(L487:Q487)-SUM(R487:U487))</f>
      </c>
      <c r="W487" s="43">
        <f>IF($B487="","",IF(L487="","⚠ Basic salary missing",IF(SUM(R487:U487)&gt;SUM(L487:Q487),"⚠ Deductions exceed earnings",IF(COUNTIF($A$4:$A$1003,$A487)&gt;1,"⚠ Duplicate ID","✓"))))</f>
      </c>
    </row>
    <row r="488" spans="22:23" x14ac:dyDescent="0.25">
      <c r="V488" s="42">
        <f>IF($B488="","",SUM(L488:Q488)-SUM(R488:U488))</f>
      </c>
      <c r="W488" s="43">
        <f>IF($B488="","",IF(L488="","⚠ Basic salary missing",IF(SUM(R488:U488)&gt;SUM(L488:Q488),"⚠ Deductions exceed earnings",IF(COUNTIF($A$4:$A$1003,$A488)&gt;1,"⚠ Duplicate ID","✓"))))</f>
      </c>
    </row>
    <row r="489" spans="22:23" x14ac:dyDescent="0.25">
      <c r="V489" s="42">
        <f>IF($B489="","",SUM(L489:Q489)-SUM(R489:U489))</f>
      </c>
      <c r="W489" s="43">
        <f>IF($B489="","",IF(L489="","⚠ Basic salary missing",IF(SUM(R489:U489)&gt;SUM(L489:Q489),"⚠ Deductions exceed earnings",IF(COUNTIF($A$4:$A$1003,$A489)&gt;1,"⚠ Duplicate ID","✓"))))</f>
      </c>
    </row>
    <row r="490" spans="22:23" x14ac:dyDescent="0.25">
      <c r="V490" s="42">
        <f>IF($B490="","",SUM(L490:Q490)-SUM(R490:U490))</f>
      </c>
      <c r="W490" s="43">
        <f>IF($B490="","",IF(L490="","⚠ Basic salary missing",IF(SUM(R490:U490)&gt;SUM(L490:Q490),"⚠ Deductions exceed earnings",IF(COUNTIF($A$4:$A$1003,$A490)&gt;1,"⚠ Duplicate ID","✓"))))</f>
      </c>
    </row>
    <row r="491" spans="22:23" x14ac:dyDescent="0.25">
      <c r="V491" s="42">
        <f>IF($B491="","",SUM(L491:Q491)-SUM(R491:U491))</f>
      </c>
      <c r="W491" s="43">
        <f>IF($B491="","",IF(L491="","⚠ Basic salary missing",IF(SUM(R491:U491)&gt;SUM(L491:Q491),"⚠ Deductions exceed earnings",IF(COUNTIF($A$4:$A$1003,$A491)&gt;1,"⚠ Duplicate ID","✓"))))</f>
      </c>
    </row>
    <row r="492" spans="22:23" x14ac:dyDescent="0.25">
      <c r="V492" s="42">
        <f>IF($B492="","",SUM(L492:Q492)-SUM(R492:U492))</f>
      </c>
      <c r="W492" s="43">
        <f>IF($B492="","",IF(L492="","⚠ Basic salary missing",IF(SUM(R492:U492)&gt;SUM(L492:Q492),"⚠ Deductions exceed earnings",IF(COUNTIF($A$4:$A$1003,$A492)&gt;1,"⚠ Duplicate ID","✓"))))</f>
      </c>
    </row>
    <row r="493" spans="22:23" x14ac:dyDescent="0.25">
      <c r="V493" s="42">
        <f>IF($B493="","",SUM(L493:Q493)-SUM(R493:U493))</f>
      </c>
      <c r="W493" s="43">
        <f>IF($B493="","",IF(L493="","⚠ Basic salary missing",IF(SUM(R493:U493)&gt;SUM(L493:Q493),"⚠ Deductions exceed earnings",IF(COUNTIF($A$4:$A$1003,$A493)&gt;1,"⚠ Duplicate ID","✓"))))</f>
      </c>
    </row>
    <row r="494" spans="22:23" x14ac:dyDescent="0.25">
      <c r="V494" s="42">
        <f>IF($B494="","",SUM(L494:Q494)-SUM(R494:U494))</f>
      </c>
      <c r="W494" s="43">
        <f>IF($B494="","",IF(L494="","⚠ Basic salary missing",IF(SUM(R494:U494)&gt;SUM(L494:Q494),"⚠ Deductions exceed earnings",IF(COUNTIF($A$4:$A$1003,$A494)&gt;1,"⚠ Duplicate ID","✓"))))</f>
      </c>
    </row>
    <row r="495" spans="22:23" x14ac:dyDescent="0.25">
      <c r="V495" s="42">
        <f>IF($B495="","",SUM(L495:Q495)-SUM(R495:U495))</f>
      </c>
      <c r="W495" s="43">
        <f>IF($B495="","",IF(L495="","⚠ Basic salary missing",IF(SUM(R495:U495)&gt;SUM(L495:Q495),"⚠ Deductions exceed earnings",IF(COUNTIF($A$4:$A$1003,$A495)&gt;1,"⚠ Duplicate ID","✓"))))</f>
      </c>
    </row>
    <row r="496" spans="22:23" x14ac:dyDescent="0.25">
      <c r="V496" s="42">
        <f>IF($B496="","",SUM(L496:Q496)-SUM(R496:U496))</f>
      </c>
      <c r="W496" s="43">
        <f>IF($B496="","",IF(L496="","⚠ Basic salary missing",IF(SUM(R496:U496)&gt;SUM(L496:Q496),"⚠ Deductions exceed earnings",IF(COUNTIF($A$4:$A$1003,$A496)&gt;1,"⚠ Duplicate ID","✓"))))</f>
      </c>
    </row>
    <row r="497" spans="22:23" x14ac:dyDescent="0.25">
      <c r="V497" s="42">
        <f>IF($B497="","",SUM(L497:Q497)-SUM(R497:U497))</f>
      </c>
      <c r="W497" s="43">
        <f>IF($B497="","",IF(L497="","⚠ Basic salary missing",IF(SUM(R497:U497)&gt;SUM(L497:Q497),"⚠ Deductions exceed earnings",IF(COUNTIF($A$4:$A$1003,$A497)&gt;1,"⚠ Duplicate ID","✓"))))</f>
      </c>
    </row>
    <row r="498" spans="22:23" x14ac:dyDescent="0.25">
      <c r="V498" s="42">
        <f>IF($B498="","",SUM(L498:Q498)-SUM(R498:U498))</f>
      </c>
      <c r="W498" s="43">
        <f>IF($B498="","",IF(L498="","⚠ Basic salary missing",IF(SUM(R498:U498)&gt;SUM(L498:Q498),"⚠ Deductions exceed earnings",IF(COUNTIF($A$4:$A$1003,$A498)&gt;1,"⚠ Duplicate ID","✓"))))</f>
      </c>
    </row>
    <row r="499" spans="22:23" x14ac:dyDescent="0.25">
      <c r="V499" s="42">
        <f>IF($B499="","",SUM(L499:Q499)-SUM(R499:U499))</f>
      </c>
      <c r="W499" s="43">
        <f>IF($B499="","",IF(L499="","⚠ Basic salary missing",IF(SUM(R499:U499)&gt;SUM(L499:Q499),"⚠ Deductions exceed earnings",IF(COUNTIF($A$4:$A$1003,$A499)&gt;1,"⚠ Duplicate ID","✓"))))</f>
      </c>
    </row>
    <row r="500" spans="22:23" x14ac:dyDescent="0.25">
      <c r="V500" s="42">
        <f>IF($B500="","",SUM(L500:Q500)-SUM(R500:U500))</f>
      </c>
      <c r="W500" s="43">
        <f>IF($B500="","",IF(L500="","⚠ Basic salary missing",IF(SUM(R500:U500)&gt;SUM(L500:Q500),"⚠ Deductions exceed earnings",IF(COUNTIF($A$4:$A$1003,$A500)&gt;1,"⚠ Duplicate ID","✓"))))</f>
      </c>
    </row>
    <row r="501" spans="22:23" x14ac:dyDescent="0.25">
      <c r="V501" s="42">
        <f>IF($B501="","",SUM(L501:Q501)-SUM(R501:U501))</f>
      </c>
      <c r="W501" s="43">
        <f>IF($B501="","",IF(L501="","⚠ Basic salary missing",IF(SUM(R501:U501)&gt;SUM(L501:Q501),"⚠ Deductions exceed earnings",IF(COUNTIF($A$4:$A$1003,$A501)&gt;1,"⚠ Duplicate ID","✓"))))</f>
      </c>
    </row>
    <row r="502" spans="22:23" x14ac:dyDescent="0.25">
      <c r="V502" s="42">
        <f>IF($B502="","",SUM(L502:Q502)-SUM(R502:U502))</f>
      </c>
      <c r="W502" s="43">
        <f>IF($B502="","",IF(L502="","⚠ Basic salary missing",IF(SUM(R502:U502)&gt;SUM(L502:Q502),"⚠ Deductions exceed earnings",IF(COUNTIF($A$4:$A$1003,$A502)&gt;1,"⚠ Duplicate ID","✓"))))</f>
      </c>
    </row>
    <row r="503" spans="22:23" x14ac:dyDescent="0.25">
      <c r="V503" s="42">
        <f>IF($B503="","",SUM(L503:Q503)-SUM(R503:U503))</f>
      </c>
      <c r="W503" s="43">
        <f>IF($B503="","",IF(L503="","⚠ Basic salary missing",IF(SUM(R503:U503)&gt;SUM(L503:Q503),"⚠ Deductions exceed earnings",IF(COUNTIF($A$4:$A$1003,$A503)&gt;1,"⚠ Duplicate ID","✓"))))</f>
      </c>
    </row>
    <row r="504" spans="22:23" x14ac:dyDescent="0.25">
      <c r="V504" s="42">
        <f>IF($B504="","",SUM(L504:Q504)-SUM(R504:U504))</f>
      </c>
      <c r="W504" s="43">
        <f>IF($B504="","",IF(L504="","⚠ Basic salary missing",IF(SUM(R504:U504)&gt;SUM(L504:Q504),"⚠ Deductions exceed earnings",IF(COUNTIF($A$4:$A$1003,$A504)&gt;1,"⚠ Duplicate ID","✓"))))</f>
      </c>
    </row>
    <row r="505" spans="22:23" x14ac:dyDescent="0.25">
      <c r="V505" s="42">
        <f>IF($B505="","",SUM(L505:Q505)-SUM(R505:U505))</f>
      </c>
      <c r="W505" s="43">
        <f>IF($B505="","",IF(L505="","⚠ Basic salary missing",IF(SUM(R505:U505)&gt;SUM(L505:Q505),"⚠ Deductions exceed earnings",IF(COUNTIF($A$4:$A$1003,$A505)&gt;1,"⚠ Duplicate ID","✓"))))</f>
      </c>
    </row>
    <row r="506" spans="22:23" x14ac:dyDescent="0.25">
      <c r="V506" s="42">
        <f>IF($B506="","",SUM(L506:Q506)-SUM(R506:U506))</f>
      </c>
      <c r="W506" s="43">
        <f>IF($B506="","",IF(L506="","⚠ Basic salary missing",IF(SUM(R506:U506)&gt;SUM(L506:Q506),"⚠ Deductions exceed earnings",IF(COUNTIF($A$4:$A$1003,$A506)&gt;1,"⚠ Duplicate ID","✓"))))</f>
      </c>
    </row>
    <row r="507" spans="22:23" x14ac:dyDescent="0.25">
      <c r="V507" s="42">
        <f>IF($B507="","",SUM(L507:Q507)-SUM(R507:U507))</f>
      </c>
      <c r="W507" s="43">
        <f>IF($B507="","",IF(L507="","⚠ Basic salary missing",IF(SUM(R507:U507)&gt;SUM(L507:Q507),"⚠ Deductions exceed earnings",IF(COUNTIF($A$4:$A$1003,$A507)&gt;1,"⚠ Duplicate ID","✓"))))</f>
      </c>
    </row>
    <row r="508" spans="22:23" x14ac:dyDescent="0.25">
      <c r="V508" s="42">
        <f>IF($B508="","",SUM(L508:Q508)-SUM(R508:U508))</f>
      </c>
      <c r="W508" s="43">
        <f>IF($B508="","",IF(L508="","⚠ Basic salary missing",IF(SUM(R508:U508)&gt;SUM(L508:Q508),"⚠ Deductions exceed earnings",IF(COUNTIF($A$4:$A$1003,$A508)&gt;1,"⚠ Duplicate ID","✓"))))</f>
      </c>
    </row>
    <row r="509" spans="22:23" x14ac:dyDescent="0.25">
      <c r="V509" s="42">
        <f>IF($B509="","",SUM(L509:Q509)-SUM(R509:U509))</f>
      </c>
      <c r="W509" s="43">
        <f>IF($B509="","",IF(L509="","⚠ Basic salary missing",IF(SUM(R509:U509)&gt;SUM(L509:Q509),"⚠ Deductions exceed earnings",IF(COUNTIF($A$4:$A$1003,$A509)&gt;1,"⚠ Duplicate ID","✓"))))</f>
      </c>
    </row>
    <row r="510" spans="22:23" x14ac:dyDescent="0.25">
      <c r="V510" s="42">
        <f>IF($B510="","",SUM(L510:Q510)-SUM(R510:U510))</f>
      </c>
      <c r="W510" s="43">
        <f>IF($B510="","",IF(L510="","⚠ Basic salary missing",IF(SUM(R510:U510)&gt;SUM(L510:Q510),"⚠ Deductions exceed earnings",IF(COUNTIF($A$4:$A$1003,$A510)&gt;1,"⚠ Duplicate ID","✓"))))</f>
      </c>
    </row>
    <row r="511" spans="22:23" x14ac:dyDescent="0.25">
      <c r="V511" s="42">
        <f>IF($B511="","",SUM(L511:Q511)-SUM(R511:U511))</f>
      </c>
      <c r="W511" s="43">
        <f>IF($B511="","",IF(L511="","⚠ Basic salary missing",IF(SUM(R511:U511)&gt;SUM(L511:Q511),"⚠ Deductions exceed earnings",IF(COUNTIF($A$4:$A$1003,$A511)&gt;1,"⚠ Duplicate ID","✓"))))</f>
      </c>
    </row>
    <row r="512" spans="22:23" x14ac:dyDescent="0.25">
      <c r="V512" s="42">
        <f>IF($B512="","",SUM(L512:Q512)-SUM(R512:U512))</f>
      </c>
      <c r="W512" s="43">
        <f>IF($B512="","",IF(L512="","⚠ Basic salary missing",IF(SUM(R512:U512)&gt;SUM(L512:Q512),"⚠ Deductions exceed earnings",IF(COUNTIF($A$4:$A$1003,$A512)&gt;1,"⚠ Duplicate ID","✓"))))</f>
      </c>
    </row>
    <row r="513" spans="22:23" x14ac:dyDescent="0.25">
      <c r="V513" s="42">
        <f>IF($B513="","",SUM(L513:Q513)-SUM(R513:U513))</f>
      </c>
      <c r="W513" s="43">
        <f>IF($B513="","",IF(L513="","⚠ Basic salary missing",IF(SUM(R513:U513)&gt;SUM(L513:Q513),"⚠ Deductions exceed earnings",IF(COUNTIF($A$4:$A$1003,$A513)&gt;1,"⚠ Duplicate ID","✓"))))</f>
      </c>
    </row>
    <row r="514" spans="22:23" x14ac:dyDescent="0.25">
      <c r="V514" s="42">
        <f>IF($B514="","",SUM(L514:Q514)-SUM(R514:U514))</f>
      </c>
      <c r="W514" s="43">
        <f>IF($B514="","",IF(L514="","⚠ Basic salary missing",IF(SUM(R514:U514)&gt;SUM(L514:Q514),"⚠ Deductions exceed earnings",IF(COUNTIF($A$4:$A$1003,$A514)&gt;1,"⚠ Duplicate ID","✓"))))</f>
      </c>
    </row>
    <row r="515" spans="22:23" x14ac:dyDescent="0.25">
      <c r="V515" s="42">
        <f>IF($B515="","",SUM(L515:Q515)-SUM(R515:U515))</f>
      </c>
      <c r="W515" s="43">
        <f>IF($B515="","",IF(L515="","⚠ Basic salary missing",IF(SUM(R515:U515)&gt;SUM(L515:Q515),"⚠ Deductions exceed earnings",IF(COUNTIF($A$4:$A$1003,$A515)&gt;1,"⚠ Duplicate ID","✓"))))</f>
      </c>
    </row>
    <row r="516" spans="22:23" x14ac:dyDescent="0.25">
      <c r="V516" s="42">
        <f>IF($B516="","",SUM(L516:Q516)-SUM(R516:U516))</f>
      </c>
      <c r="W516" s="43">
        <f>IF($B516="","",IF(L516="","⚠ Basic salary missing",IF(SUM(R516:U516)&gt;SUM(L516:Q516),"⚠ Deductions exceed earnings",IF(COUNTIF($A$4:$A$1003,$A516)&gt;1,"⚠ Duplicate ID","✓"))))</f>
      </c>
    </row>
    <row r="517" spans="22:23" x14ac:dyDescent="0.25">
      <c r="V517" s="42">
        <f>IF($B517="","",SUM(L517:Q517)-SUM(R517:U517))</f>
      </c>
      <c r="W517" s="43">
        <f>IF($B517="","",IF(L517="","⚠ Basic salary missing",IF(SUM(R517:U517)&gt;SUM(L517:Q517),"⚠ Deductions exceed earnings",IF(COUNTIF($A$4:$A$1003,$A517)&gt;1,"⚠ Duplicate ID","✓"))))</f>
      </c>
    </row>
    <row r="518" spans="22:23" x14ac:dyDescent="0.25">
      <c r="V518" s="42">
        <f>IF($B518="","",SUM(L518:Q518)-SUM(R518:U518))</f>
      </c>
      <c r="W518" s="43">
        <f>IF($B518="","",IF(L518="","⚠ Basic salary missing",IF(SUM(R518:U518)&gt;SUM(L518:Q518),"⚠ Deductions exceed earnings",IF(COUNTIF($A$4:$A$1003,$A518)&gt;1,"⚠ Duplicate ID","✓"))))</f>
      </c>
    </row>
    <row r="519" spans="22:23" x14ac:dyDescent="0.25">
      <c r="V519" s="42">
        <f>IF($B519="","",SUM(L519:Q519)-SUM(R519:U519))</f>
      </c>
      <c r="W519" s="43">
        <f>IF($B519="","",IF(L519="","⚠ Basic salary missing",IF(SUM(R519:U519)&gt;SUM(L519:Q519),"⚠ Deductions exceed earnings",IF(COUNTIF($A$4:$A$1003,$A519)&gt;1,"⚠ Duplicate ID","✓"))))</f>
      </c>
    </row>
    <row r="520" spans="22:23" x14ac:dyDescent="0.25">
      <c r="V520" s="42">
        <f>IF($B520="","",SUM(L520:Q520)-SUM(R520:U520))</f>
      </c>
      <c r="W520" s="43">
        <f>IF($B520="","",IF(L520="","⚠ Basic salary missing",IF(SUM(R520:U520)&gt;SUM(L520:Q520),"⚠ Deductions exceed earnings",IF(COUNTIF($A$4:$A$1003,$A520)&gt;1,"⚠ Duplicate ID","✓"))))</f>
      </c>
    </row>
    <row r="521" spans="22:23" x14ac:dyDescent="0.25">
      <c r="V521" s="42">
        <f>IF($B521="","",SUM(L521:Q521)-SUM(R521:U521))</f>
      </c>
      <c r="W521" s="43">
        <f>IF($B521="","",IF(L521="","⚠ Basic salary missing",IF(SUM(R521:U521)&gt;SUM(L521:Q521),"⚠ Deductions exceed earnings",IF(COUNTIF($A$4:$A$1003,$A521)&gt;1,"⚠ Duplicate ID","✓"))))</f>
      </c>
    </row>
    <row r="522" spans="22:23" x14ac:dyDescent="0.25">
      <c r="V522" s="42">
        <f>IF($B522="","",SUM(L522:Q522)-SUM(R522:U522))</f>
      </c>
      <c r="W522" s="43">
        <f>IF($B522="","",IF(L522="","⚠ Basic salary missing",IF(SUM(R522:U522)&gt;SUM(L522:Q522),"⚠ Deductions exceed earnings",IF(COUNTIF($A$4:$A$1003,$A522)&gt;1,"⚠ Duplicate ID","✓"))))</f>
      </c>
    </row>
    <row r="523" spans="22:23" x14ac:dyDescent="0.25">
      <c r="V523" s="42">
        <f>IF($B523="","",SUM(L523:Q523)-SUM(R523:U523))</f>
      </c>
      <c r="W523" s="43">
        <f>IF($B523="","",IF(L523="","⚠ Basic salary missing",IF(SUM(R523:U523)&gt;SUM(L523:Q523),"⚠ Deductions exceed earnings",IF(COUNTIF($A$4:$A$1003,$A523)&gt;1,"⚠ Duplicate ID","✓"))))</f>
      </c>
    </row>
    <row r="524" spans="22:23" x14ac:dyDescent="0.25">
      <c r="V524" s="42">
        <f>IF($B524="","",SUM(L524:Q524)-SUM(R524:U524))</f>
      </c>
      <c r="W524" s="43">
        <f>IF($B524="","",IF(L524="","⚠ Basic salary missing",IF(SUM(R524:U524)&gt;SUM(L524:Q524),"⚠ Deductions exceed earnings",IF(COUNTIF($A$4:$A$1003,$A524)&gt;1,"⚠ Duplicate ID","✓"))))</f>
      </c>
    </row>
    <row r="525" spans="22:23" x14ac:dyDescent="0.25">
      <c r="V525" s="42">
        <f>IF($B525="","",SUM(L525:Q525)-SUM(R525:U525))</f>
      </c>
      <c r="W525" s="43">
        <f>IF($B525="","",IF(L525="","⚠ Basic salary missing",IF(SUM(R525:U525)&gt;SUM(L525:Q525),"⚠ Deductions exceed earnings",IF(COUNTIF($A$4:$A$1003,$A525)&gt;1,"⚠ Duplicate ID","✓"))))</f>
      </c>
    </row>
    <row r="526" spans="22:23" x14ac:dyDescent="0.25">
      <c r="V526" s="42">
        <f>IF($B526="","",SUM(L526:Q526)-SUM(R526:U526))</f>
      </c>
      <c r="W526" s="43">
        <f>IF($B526="","",IF(L526="","⚠ Basic salary missing",IF(SUM(R526:U526)&gt;SUM(L526:Q526),"⚠ Deductions exceed earnings",IF(COUNTIF($A$4:$A$1003,$A526)&gt;1,"⚠ Duplicate ID","✓"))))</f>
      </c>
    </row>
    <row r="527" spans="22:23" x14ac:dyDescent="0.25">
      <c r="V527" s="42">
        <f>IF($B527="","",SUM(L527:Q527)-SUM(R527:U527))</f>
      </c>
      <c r="W527" s="43">
        <f>IF($B527="","",IF(L527="","⚠ Basic salary missing",IF(SUM(R527:U527)&gt;SUM(L527:Q527),"⚠ Deductions exceed earnings",IF(COUNTIF($A$4:$A$1003,$A527)&gt;1,"⚠ Duplicate ID","✓"))))</f>
      </c>
    </row>
    <row r="528" spans="22:23" x14ac:dyDescent="0.25">
      <c r="V528" s="42">
        <f>IF($B528="","",SUM(L528:Q528)-SUM(R528:U528))</f>
      </c>
      <c r="W528" s="43">
        <f>IF($B528="","",IF(L528="","⚠ Basic salary missing",IF(SUM(R528:U528)&gt;SUM(L528:Q528),"⚠ Deductions exceed earnings",IF(COUNTIF($A$4:$A$1003,$A528)&gt;1,"⚠ Duplicate ID","✓"))))</f>
      </c>
    </row>
    <row r="529" spans="22:23" x14ac:dyDescent="0.25">
      <c r="V529" s="42">
        <f>IF($B529="","",SUM(L529:Q529)-SUM(R529:U529))</f>
      </c>
      <c r="W529" s="43">
        <f>IF($B529="","",IF(L529="","⚠ Basic salary missing",IF(SUM(R529:U529)&gt;SUM(L529:Q529),"⚠ Deductions exceed earnings",IF(COUNTIF($A$4:$A$1003,$A529)&gt;1,"⚠ Duplicate ID","✓"))))</f>
      </c>
    </row>
    <row r="530" spans="22:23" x14ac:dyDescent="0.25">
      <c r="V530" s="42">
        <f>IF($B530="","",SUM(L530:Q530)-SUM(R530:U530))</f>
      </c>
      <c r="W530" s="43">
        <f>IF($B530="","",IF(L530="","⚠ Basic salary missing",IF(SUM(R530:U530)&gt;SUM(L530:Q530),"⚠ Deductions exceed earnings",IF(COUNTIF($A$4:$A$1003,$A530)&gt;1,"⚠ Duplicate ID","✓"))))</f>
      </c>
    </row>
    <row r="531" spans="22:23" x14ac:dyDescent="0.25">
      <c r="V531" s="42">
        <f>IF($B531="","",SUM(L531:Q531)-SUM(R531:U531))</f>
      </c>
      <c r="W531" s="43">
        <f>IF($B531="","",IF(L531="","⚠ Basic salary missing",IF(SUM(R531:U531)&gt;SUM(L531:Q531),"⚠ Deductions exceed earnings",IF(COUNTIF($A$4:$A$1003,$A531)&gt;1,"⚠ Duplicate ID","✓"))))</f>
      </c>
    </row>
    <row r="532" spans="22:23" x14ac:dyDescent="0.25">
      <c r="V532" s="42">
        <f>IF($B532="","",SUM(L532:Q532)-SUM(R532:U532))</f>
      </c>
      <c r="W532" s="43">
        <f>IF($B532="","",IF(L532="","⚠ Basic salary missing",IF(SUM(R532:U532)&gt;SUM(L532:Q532),"⚠ Deductions exceed earnings",IF(COUNTIF($A$4:$A$1003,$A532)&gt;1,"⚠ Duplicate ID","✓"))))</f>
      </c>
    </row>
    <row r="533" spans="22:23" x14ac:dyDescent="0.25">
      <c r="V533" s="42">
        <f>IF($B533="","",SUM(L533:Q533)-SUM(R533:U533))</f>
      </c>
      <c r="W533" s="43">
        <f>IF($B533="","",IF(L533="","⚠ Basic salary missing",IF(SUM(R533:U533)&gt;SUM(L533:Q533),"⚠ Deductions exceed earnings",IF(COUNTIF($A$4:$A$1003,$A533)&gt;1,"⚠ Duplicate ID","✓"))))</f>
      </c>
    </row>
    <row r="534" spans="22:23" x14ac:dyDescent="0.25">
      <c r="V534" s="42">
        <f>IF($B534="","",SUM(L534:Q534)-SUM(R534:U534))</f>
      </c>
      <c r="W534" s="43">
        <f>IF($B534="","",IF(L534="","⚠ Basic salary missing",IF(SUM(R534:U534)&gt;SUM(L534:Q534),"⚠ Deductions exceed earnings",IF(COUNTIF($A$4:$A$1003,$A534)&gt;1,"⚠ Duplicate ID","✓"))))</f>
      </c>
    </row>
    <row r="535" spans="22:23" x14ac:dyDescent="0.25">
      <c r="V535" s="42">
        <f>IF($B535="","",SUM(L535:Q535)-SUM(R535:U535))</f>
      </c>
      <c r="W535" s="43">
        <f>IF($B535="","",IF(L535="","⚠ Basic salary missing",IF(SUM(R535:U535)&gt;SUM(L535:Q535),"⚠ Deductions exceed earnings",IF(COUNTIF($A$4:$A$1003,$A535)&gt;1,"⚠ Duplicate ID","✓"))))</f>
      </c>
    </row>
    <row r="536" spans="22:23" x14ac:dyDescent="0.25">
      <c r="V536" s="42">
        <f>IF($B536="","",SUM(L536:Q536)-SUM(R536:U536))</f>
      </c>
      <c r="W536" s="43">
        <f>IF($B536="","",IF(L536="","⚠ Basic salary missing",IF(SUM(R536:U536)&gt;SUM(L536:Q536),"⚠ Deductions exceed earnings",IF(COUNTIF($A$4:$A$1003,$A536)&gt;1,"⚠ Duplicate ID","✓"))))</f>
      </c>
    </row>
    <row r="537" spans="22:23" x14ac:dyDescent="0.25">
      <c r="V537" s="42">
        <f>IF($B537="","",SUM(L537:Q537)-SUM(R537:U537))</f>
      </c>
      <c r="W537" s="43">
        <f>IF($B537="","",IF(L537="","⚠ Basic salary missing",IF(SUM(R537:U537)&gt;SUM(L537:Q537),"⚠ Deductions exceed earnings",IF(COUNTIF($A$4:$A$1003,$A537)&gt;1,"⚠ Duplicate ID","✓"))))</f>
      </c>
    </row>
    <row r="538" spans="22:23" x14ac:dyDescent="0.25">
      <c r="V538" s="42">
        <f>IF($B538="","",SUM(L538:Q538)-SUM(R538:U538))</f>
      </c>
      <c r="W538" s="43">
        <f>IF($B538="","",IF(L538="","⚠ Basic salary missing",IF(SUM(R538:U538)&gt;SUM(L538:Q538),"⚠ Deductions exceed earnings",IF(COUNTIF($A$4:$A$1003,$A538)&gt;1,"⚠ Duplicate ID","✓"))))</f>
      </c>
    </row>
    <row r="539" spans="22:23" x14ac:dyDescent="0.25">
      <c r="V539" s="42">
        <f>IF($B539="","",SUM(L539:Q539)-SUM(R539:U539))</f>
      </c>
      <c r="W539" s="43">
        <f>IF($B539="","",IF(L539="","⚠ Basic salary missing",IF(SUM(R539:U539)&gt;SUM(L539:Q539),"⚠ Deductions exceed earnings",IF(COUNTIF($A$4:$A$1003,$A539)&gt;1,"⚠ Duplicate ID","✓"))))</f>
      </c>
    </row>
    <row r="540" spans="22:23" x14ac:dyDescent="0.25">
      <c r="V540" s="42">
        <f>IF($B540="","",SUM(L540:Q540)-SUM(R540:U540))</f>
      </c>
      <c r="W540" s="43">
        <f>IF($B540="","",IF(L540="","⚠ Basic salary missing",IF(SUM(R540:U540)&gt;SUM(L540:Q540),"⚠ Deductions exceed earnings",IF(COUNTIF($A$4:$A$1003,$A540)&gt;1,"⚠ Duplicate ID","✓"))))</f>
      </c>
    </row>
    <row r="541" spans="22:23" x14ac:dyDescent="0.25">
      <c r="V541" s="42">
        <f>IF($B541="","",SUM(L541:Q541)-SUM(R541:U541))</f>
      </c>
      <c r="W541" s="43">
        <f>IF($B541="","",IF(L541="","⚠ Basic salary missing",IF(SUM(R541:U541)&gt;SUM(L541:Q541),"⚠ Deductions exceed earnings",IF(COUNTIF($A$4:$A$1003,$A541)&gt;1,"⚠ Duplicate ID","✓"))))</f>
      </c>
    </row>
    <row r="542" spans="22:23" x14ac:dyDescent="0.25">
      <c r="V542" s="42">
        <f>IF($B542="","",SUM(L542:Q542)-SUM(R542:U542))</f>
      </c>
      <c r="W542" s="43">
        <f>IF($B542="","",IF(L542="","⚠ Basic salary missing",IF(SUM(R542:U542)&gt;SUM(L542:Q542),"⚠ Deductions exceed earnings",IF(COUNTIF($A$4:$A$1003,$A542)&gt;1,"⚠ Duplicate ID","✓"))))</f>
      </c>
    </row>
    <row r="543" spans="22:23" x14ac:dyDescent="0.25">
      <c r="V543" s="42">
        <f>IF($B543="","",SUM(L543:Q543)-SUM(R543:U543))</f>
      </c>
      <c r="W543" s="43">
        <f>IF($B543="","",IF(L543="","⚠ Basic salary missing",IF(SUM(R543:U543)&gt;SUM(L543:Q543),"⚠ Deductions exceed earnings",IF(COUNTIF($A$4:$A$1003,$A543)&gt;1,"⚠ Duplicate ID","✓"))))</f>
      </c>
    </row>
    <row r="544" spans="22:23" x14ac:dyDescent="0.25">
      <c r="V544" s="42">
        <f>IF($B544="","",SUM(L544:Q544)-SUM(R544:U544))</f>
      </c>
      <c r="W544" s="43">
        <f>IF($B544="","",IF(L544="","⚠ Basic salary missing",IF(SUM(R544:U544)&gt;SUM(L544:Q544),"⚠ Deductions exceed earnings",IF(COUNTIF($A$4:$A$1003,$A544)&gt;1,"⚠ Duplicate ID","✓"))))</f>
      </c>
    </row>
    <row r="545" spans="22:23" x14ac:dyDescent="0.25">
      <c r="V545" s="42">
        <f>IF($B545="","",SUM(L545:Q545)-SUM(R545:U545))</f>
      </c>
      <c r="W545" s="43">
        <f>IF($B545="","",IF(L545="","⚠ Basic salary missing",IF(SUM(R545:U545)&gt;SUM(L545:Q545),"⚠ Deductions exceed earnings",IF(COUNTIF($A$4:$A$1003,$A545)&gt;1,"⚠ Duplicate ID","✓"))))</f>
      </c>
    </row>
    <row r="546" spans="22:23" x14ac:dyDescent="0.25">
      <c r="V546" s="42">
        <f>IF($B546="","",SUM(L546:Q546)-SUM(R546:U546))</f>
      </c>
      <c r="W546" s="43">
        <f>IF($B546="","",IF(L546="","⚠ Basic salary missing",IF(SUM(R546:U546)&gt;SUM(L546:Q546),"⚠ Deductions exceed earnings",IF(COUNTIF($A$4:$A$1003,$A546)&gt;1,"⚠ Duplicate ID","✓"))))</f>
      </c>
    </row>
    <row r="547" spans="22:23" x14ac:dyDescent="0.25">
      <c r="V547" s="42">
        <f>IF($B547="","",SUM(L547:Q547)-SUM(R547:U547))</f>
      </c>
      <c r="W547" s="43">
        <f>IF($B547="","",IF(L547="","⚠ Basic salary missing",IF(SUM(R547:U547)&gt;SUM(L547:Q547),"⚠ Deductions exceed earnings",IF(COUNTIF($A$4:$A$1003,$A547)&gt;1,"⚠ Duplicate ID","✓"))))</f>
      </c>
    </row>
    <row r="548" spans="22:23" x14ac:dyDescent="0.25">
      <c r="V548" s="42">
        <f>IF($B548="","",SUM(L548:Q548)-SUM(R548:U548))</f>
      </c>
      <c r="W548" s="43">
        <f>IF($B548="","",IF(L548="","⚠ Basic salary missing",IF(SUM(R548:U548)&gt;SUM(L548:Q548),"⚠ Deductions exceed earnings",IF(COUNTIF($A$4:$A$1003,$A548)&gt;1,"⚠ Duplicate ID","✓"))))</f>
      </c>
    </row>
    <row r="549" spans="22:23" x14ac:dyDescent="0.25">
      <c r="V549" s="42">
        <f>IF($B549="","",SUM(L549:Q549)-SUM(R549:U549))</f>
      </c>
      <c r="W549" s="43">
        <f>IF($B549="","",IF(L549="","⚠ Basic salary missing",IF(SUM(R549:U549)&gt;SUM(L549:Q549),"⚠ Deductions exceed earnings",IF(COUNTIF($A$4:$A$1003,$A549)&gt;1,"⚠ Duplicate ID","✓"))))</f>
      </c>
    </row>
    <row r="550" spans="22:23" x14ac:dyDescent="0.25">
      <c r="V550" s="42">
        <f>IF($B550="","",SUM(L550:Q550)-SUM(R550:U550))</f>
      </c>
      <c r="W550" s="43">
        <f>IF($B550="","",IF(L550="","⚠ Basic salary missing",IF(SUM(R550:U550)&gt;SUM(L550:Q550),"⚠ Deductions exceed earnings",IF(COUNTIF($A$4:$A$1003,$A550)&gt;1,"⚠ Duplicate ID","✓"))))</f>
      </c>
    </row>
    <row r="551" spans="22:23" x14ac:dyDescent="0.25">
      <c r="V551" s="42">
        <f>IF($B551="","",SUM(L551:Q551)-SUM(R551:U551))</f>
      </c>
      <c r="W551" s="43">
        <f>IF($B551="","",IF(L551="","⚠ Basic salary missing",IF(SUM(R551:U551)&gt;SUM(L551:Q551),"⚠ Deductions exceed earnings",IF(COUNTIF($A$4:$A$1003,$A551)&gt;1,"⚠ Duplicate ID","✓"))))</f>
      </c>
    </row>
    <row r="552" spans="22:23" x14ac:dyDescent="0.25">
      <c r="V552" s="42">
        <f>IF($B552="","",SUM(L552:Q552)-SUM(R552:U552))</f>
      </c>
      <c r="W552" s="43">
        <f>IF($B552="","",IF(L552="","⚠ Basic salary missing",IF(SUM(R552:U552)&gt;SUM(L552:Q552),"⚠ Deductions exceed earnings",IF(COUNTIF($A$4:$A$1003,$A552)&gt;1,"⚠ Duplicate ID","✓"))))</f>
      </c>
    </row>
    <row r="553" spans="22:23" x14ac:dyDescent="0.25">
      <c r="V553" s="42">
        <f>IF($B553="","",SUM(L553:Q553)-SUM(R553:U553))</f>
      </c>
      <c r="W553" s="43">
        <f>IF($B553="","",IF(L553="","⚠ Basic salary missing",IF(SUM(R553:U553)&gt;SUM(L553:Q553),"⚠ Deductions exceed earnings",IF(COUNTIF($A$4:$A$1003,$A553)&gt;1,"⚠ Duplicate ID","✓"))))</f>
      </c>
    </row>
    <row r="554" spans="22:23" x14ac:dyDescent="0.25">
      <c r="V554" s="42">
        <f>IF($B554="","",SUM(L554:Q554)-SUM(R554:U554))</f>
      </c>
      <c r="W554" s="43">
        <f>IF($B554="","",IF(L554="","⚠ Basic salary missing",IF(SUM(R554:U554)&gt;SUM(L554:Q554),"⚠ Deductions exceed earnings",IF(COUNTIF($A$4:$A$1003,$A554)&gt;1,"⚠ Duplicate ID","✓"))))</f>
      </c>
    </row>
    <row r="555" spans="22:23" x14ac:dyDescent="0.25">
      <c r="V555" s="42">
        <f>IF($B555="","",SUM(L555:Q555)-SUM(R555:U555))</f>
      </c>
      <c r="W555" s="43">
        <f>IF($B555="","",IF(L555="","⚠ Basic salary missing",IF(SUM(R555:U555)&gt;SUM(L555:Q555),"⚠ Deductions exceed earnings",IF(COUNTIF($A$4:$A$1003,$A555)&gt;1,"⚠ Duplicate ID","✓"))))</f>
      </c>
    </row>
    <row r="556" spans="22:23" x14ac:dyDescent="0.25">
      <c r="V556" s="42">
        <f>IF($B556="","",SUM(L556:Q556)-SUM(R556:U556))</f>
      </c>
      <c r="W556" s="43">
        <f>IF($B556="","",IF(L556="","⚠ Basic salary missing",IF(SUM(R556:U556)&gt;SUM(L556:Q556),"⚠ Deductions exceed earnings",IF(COUNTIF($A$4:$A$1003,$A556)&gt;1,"⚠ Duplicate ID","✓"))))</f>
      </c>
    </row>
    <row r="557" spans="22:23" x14ac:dyDescent="0.25">
      <c r="V557" s="42">
        <f>IF($B557="","",SUM(L557:Q557)-SUM(R557:U557))</f>
      </c>
      <c r="W557" s="43">
        <f>IF($B557="","",IF(L557="","⚠ Basic salary missing",IF(SUM(R557:U557)&gt;SUM(L557:Q557),"⚠ Deductions exceed earnings",IF(COUNTIF($A$4:$A$1003,$A557)&gt;1,"⚠ Duplicate ID","✓"))))</f>
      </c>
    </row>
    <row r="558" spans="22:23" x14ac:dyDescent="0.25">
      <c r="V558" s="42">
        <f>IF($B558="","",SUM(L558:Q558)-SUM(R558:U558))</f>
      </c>
      <c r="W558" s="43">
        <f>IF($B558="","",IF(L558="","⚠ Basic salary missing",IF(SUM(R558:U558)&gt;SUM(L558:Q558),"⚠ Deductions exceed earnings",IF(COUNTIF($A$4:$A$1003,$A558)&gt;1,"⚠ Duplicate ID","✓"))))</f>
      </c>
    </row>
    <row r="559" spans="22:23" x14ac:dyDescent="0.25">
      <c r="V559" s="42">
        <f>IF($B559="","",SUM(L559:Q559)-SUM(R559:U559))</f>
      </c>
      <c r="W559" s="43">
        <f>IF($B559="","",IF(L559="","⚠ Basic salary missing",IF(SUM(R559:U559)&gt;SUM(L559:Q559),"⚠ Deductions exceed earnings",IF(COUNTIF($A$4:$A$1003,$A559)&gt;1,"⚠ Duplicate ID","✓"))))</f>
      </c>
    </row>
    <row r="560" spans="22:23" x14ac:dyDescent="0.25">
      <c r="V560" s="42">
        <f>IF($B560="","",SUM(L560:Q560)-SUM(R560:U560))</f>
      </c>
      <c r="W560" s="43">
        <f>IF($B560="","",IF(L560="","⚠ Basic salary missing",IF(SUM(R560:U560)&gt;SUM(L560:Q560),"⚠ Deductions exceed earnings",IF(COUNTIF($A$4:$A$1003,$A560)&gt;1,"⚠ Duplicate ID","✓"))))</f>
      </c>
    </row>
    <row r="561" spans="22:23" x14ac:dyDescent="0.25">
      <c r="V561" s="42">
        <f>IF($B561="","",SUM(L561:Q561)-SUM(R561:U561))</f>
      </c>
      <c r="W561" s="43">
        <f>IF($B561="","",IF(L561="","⚠ Basic salary missing",IF(SUM(R561:U561)&gt;SUM(L561:Q561),"⚠ Deductions exceed earnings",IF(COUNTIF($A$4:$A$1003,$A561)&gt;1,"⚠ Duplicate ID","✓"))))</f>
      </c>
    </row>
    <row r="562" spans="22:23" x14ac:dyDescent="0.25">
      <c r="V562" s="42">
        <f>IF($B562="","",SUM(L562:Q562)-SUM(R562:U562))</f>
      </c>
      <c r="W562" s="43">
        <f>IF($B562="","",IF(L562="","⚠ Basic salary missing",IF(SUM(R562:U562)&gt;SUM(L562:Q562),"⚠ Deductions exceed earnings",IF(COUNTIF($A$4:$A$1003,$A562)&gt;1,"⚠ Duplicate ID","✓"))))</f>
      </c>
    </row>
    <row r="563" spans="22:23" x14ac:dyDescent="0.25">
      <c r="V563" s="42">
        <f>IF($B563="","",SUM(L563:Q563)-SUM(R563:U563))</f>
      </c>
      <c r="W563" s="43">
        <f>IF($B563="","",IF(L563="","⚠ Basic salary missing",IF(SUM(R563:U563)&gt;SUM(L563:Q563),"⚠ Deductions exceed earnings",IF(COUNTIF($A$4:$A$1003,$A563)&gt;1,"⚠ Duplicate ID","✓"))))</f>
      </c>
    </row>
    <row r="564" spans="22:23" x14ac:dyDescent="0.25">
      <c r="V564" s="42">
        <f>IF($B564="","",SUM(L564:Q564)-SUM(R564:U564))</f>
      </c>
      <c r="W564" s="43">
        <f>IF($B564="","",IF(L564="","⚠ Basic salary missing",IF(SUM(R564:U564)&gt;SUM(L564:Q564),"⚠ Deductions exceed earnings",IF(COUNTIF($A$4:$A$1003,$A564)&gt;1,"⚠ Duplicate ID","✓"))))</f>
      </c>
    </row>
    <row r="565" spans="22:23" x14ac:dyDescent="0.25">
      <c r="V565" s="42">
        <f>IF($B565="","",SUM(L565:Q565)-SUM(R565:U565))</f>
      </c>
      <c r="W565" s="43">
        <f>IF($B565="","",IF(L565="","⚠ Basic salary missing",IF(SUM(R565:U565)&gt;SUM(L565:Q565),"⚠ Deductions exceed earnings",IF(COUNTIF($A$4:$A$1003,$A565)&gt;1,"⚠ Duplicate ID","✓"))))</f>
      </c>
    </row>
    <row r="566" spans="22:23" x14ac:dyDescent="0.25">
      <c r="V566" s="42">
        <f>IF($B566="","",SUM(L566:Q566)-SUM(R566:U566))</f>
      </c>
      <c r="W566" s="43">
        <f>IF($B566="","",IF(L566="","⚠ Basic salary missing",IF(SUM(R566:U566)&gt;SUM(L566:Q566),"⚠ Deductions exceed earnings",IF(COUNTIF($A$4:$A$1003,$A566)&gt;1,"⚠ Duplicate ID","✓"))))</f>
      </c>
    </row>
    <row r="567" spans="22:23" x14ac:dyDescent="0.25">
      <c r="V567" s="42">
        <f>IF($B567="","",SUM(L567:Q567)-SUM(R567:U567))</f>
      </c>
      <c r="W567" s="43">
        <f>IF($B567="","",IF(L567="","⚠ Basic salary missing",IF(SUM(R567:U567)&gt;SUM(L567:Q567),"⚠ Deductions exceed earnings",IF(COUNTIF($A$4:$A$1003,$A567)&gt;1,"⚠ Duplicate ID","✓"))))</f>
      </c>
    </row>
    <row r="568" spans="22:23" x14ac:dyDescent="0.25">
      <c r="V568" s="42">
        <f>IF($B568="","",SUM(L568:Q568)-SUM(R568:U568))</f>
      </c>
      <c r="W568" s="43">
        <f>IF($B568="","",IF(L568="","⚠ Basic salary missing",IF(SUM(R568:U568)&gt;SUM(L568:Q568),"⚠ Deductions exceed earnings",IF(COUNTIF($A$4:$A$1003,$A568)&gt;1,"⚠ Duplicate ID","✓"))))</f>
      </c>
    </row>
    <row r="569" spans="22:23" x14ac:dyDescent="0.25">
      <c r="V569" s="42">
        <f>IF($B569="","",SUM(L569:Q569)-SUM(R569:U569))</f>
      </c>
      <c r="W569" s="43">
        <f>IF($B569="","",IF(L569="","⚠ Basic salary missing",IF(SUM(R569:U569)&gt;SUM(L569:Q569),"⚠ Deductions exceed earnings",IF(COUNTIF($A$4:$A$1003,$A569)&gt;1,"⚠ Duplicate ID","✓"))))</f>
      </c>
    </row>
    <row r="570" spans="22:23" x14ac:dyDescent="0.25">
      <c r="V570" s="42">
        <f>IF($B570="","",SUM(L570:Q570)-SUM(R570:U570))</f>
      </c>
      <c r="W570" s="43">
        <f>IF($B570="","",IF(L570="","⚠ Basic salary missing",IF(SUM(R570:U570)&gt;SUM(L570:Q570),"⚠ Deductions exceed earnings",IF(COUNTIF($A$4:$A$1003,$A570)&gt;1,"⚠ Duplicate ID","✓"))))</f>
      </c>
    </row>
    <row r="571" spans="22:23" x14ac:dyDescent="0.25">
      <c r="V571" s="42">
        <f>IF($B571="","",SUM(L571:Q571)-SUM(R571:U571))</f>
      </c>
      <c r="W571" s="43">
        <f>IF($B571="","",IF(L571="","⚠ Basic salary missing",IF(SUM(R571:U571)&gt;SUM(L571:Q571),"⚠ Deductions exceed earnings",IF(COUNTIF($A$4:$A$1003,$A571)&gt;1,"⚠ Duplicate ID","✓"))))</f>
      </c>
    </row>
    <row r="572" spans="22:23" x14ac:dyDescent="0.25">
      <c r="V572" s="42">
        <f>IF($B572="","",SUM(L572:Q572)-SUM(R572:U572))</f>
      </c>
      <c r="W572" s="43">
        <f>IF($B572="","",IF(L572="","⚠ Basic salary missing",IF(SUM(R572:U572)&gt;SUM(L572:Q572),"⚠ Deductions exceed earnings",IF(COUNTIF($A$4:$A$1003,$A572)&gt;1,"⚠ Duplicate ID","✓"))))</f>
      </c>
    </row>
    <row r="573" spans="22:23" x14ac:dyDescent="0.25">
      <c r="V573" s="42">
        <f>IF($B573="","",SUM(L573:Q573)-SUM(R573:U573))</f>
      </c>
      <c r="W573" s="43">
        <f>IF($B573="","",IF(L573="","⚠ Basic salary missing",IF(SUM(R573:U573)&gt;SUM(L573:Q573),"⚠ Deductions exceed earnings",IF(COUNTIF($A$4:$A$1003,$A573)&gt;1,"⚠ Duplicate ID","✓"))))</f>
      </c>
    </row>
    <row r="574" spans="22:23" x14ac:dyDescent="0.25">
      <c r="V574" s="42">
        <f>IF($B574="","",SUM(L574:Q574)-SUM(R574:U574))</f>
      </c>
      <c r="W574" s="43">
        <f>IF($B574="","",IF(L574="","⚠ Basic salary missing",IF(SUM(R574:U574)&gt;SUM(L574:Q574),"⚠ Deductions exceed earnings",IF(COUNTIF($A$4:$A$1003,$A574)&gt;1,"⚠ Duplicate ID","✓"))))</f>
      </c>
    </row>
    <row r="575" spans="22:23" x14ac:dyDescent="0.25">
      <c r="V575" s="42">
        <f>IF($B575="","",SUM(L575:Q575)-SUM(R575:U575))</f>
      </c>
      <c r="W575" s="43">
        <f>IF($B575="","",IF(L575="","⚠ Basic salary missing",IF(SUM(R575:U575)&gt;SUM(L575:Q575),"⚠ Deductions exceed earnings",IF(COUNTIF($A$4:$A$1003,$A575)&gt;1,"⚠ Duplicate ID","✓"))))</f>
      </c>
    </row>
    <row r="576" spans="22:23" x14ac:dyDescent="0.25">
      <c r="V576" s="42">
        <f>IF($B576="","",SUM(L576:Q576)-SUM(R576:U576))</f>
      </c>
      <c r="W576" s="43">
        <f>IF($B576="","",IF(L576="","⚠ Basic salary missing",IF(SUM(R576:U576)&gt;SUM(L576:Q576),"⚠ Deductions exceed earnings",IF(COUNTIF($A$4:$A$1003,$A576)&gt;1,"⚠ Duplicate ID","✓"))))</f>
      </c>
    </row>
    <row r="577" spans="22:23" x14ac:dyDescent="0.25">
      <c r="V577" s="42">
        <f>IF($B577="","",SUM(L577:Q577)-SUM(R577:U577))</f>
      </c>
      <c r="W577" s="43">
        <f>IF($B577="","",IF(L577="","⚠ Basic salary missing",IF(SUM(R577:U577)&gt;SUM(L577:Q577),"⚠ Deductions exceed earnings",IF(COUNTIF($A$4:$A$1003,$A577)&gt;1,"⚠ Duplicate ID","✓"))))</f>
      </c>
    </row>
    <row r="578" spans="22:23" x14ac:dyDescent="0.25">
      <c r="V578" s="42">
        <f>IF($B578="","",SUM(L578:Q578)-SUM(R578:U578))</f>
      </c>
      <c r="W578" s="43">
        <f>IF($B578="","",IF(L578="","⚠ Basic salary missing",IF(SUM(R578:U578)&gt;SUM(L578:Q578),"⚠ Deductions exceed earnings",IF(COUNTIF($A$4:$A$1003,$A578)&gt;1,"⚠ Duplicate ID","✓"))))</f>
      </c>
    </row>
    <row r="579" spans="22:23" x14ac:dyDescent="0.25">
      <c r="V579" s="42">
        <f>IF($B579="","",SUM(L579:Q579)-SUM(R579:U579))</f>
      </c>
      <c r="W579" s="43">
        <f>IF($B579="","",IF(L579="","⚠ Basic salary missing",IF(SUM(R579:U579)&gt;SUM(L579:Q579),"⚠ Deductions exceed earnings",IF(COUNTIF($A$4:$A$1003,$A579)&gt;1,"⚠ Duplicate ID","✓"))))</f>
      </c>
    </row>
    <row r="580" spans="22:23" x14ac:dyDescent="0.25">
      <c r="V580" s="42">
        <f>IF($B580="","",SUM(L580:Q580)-SUM(R580:U580))</f>
      </c>
      <c r="W580" s="43">
        <f>IF($B580="","",IF(L580="","⚠ Basic salary missing",IF(SUM(R580:U580)&gt;SUM(L580:Q580),"⚠ Deductions exceed earnings",IF(COUNTIF($A$4:$A$1003,$A580)&gt;1,"⚠ Duplicate ID","✓"))))</f>
      </c>
    </row>
    <row r="581" spans="22:23" x14ac:dyDescent="0.25">
      <c r="V581" s="42">
        <f>IF($B581="","",SUM(L581:Q581)-SUM(R581:U581))</f>
      </c>
      <c r="W581" s="43">
        <f>IF($B581="","",IF(L581="","⚠ Basic salary missing",IF(SUM(R581:U581)&gt;SUM(L581:Q581),"⚠ Deductions exceed earnings",IF(COUNTIF($A$4:$A$1003,$A581)&gt;1,"⚠ Duplicate ID","✓"))))</f>
      </c>
    </row>
    <row r="582" spans="22:23" x14ac:dyDescent="0.25">
      <c r="V582" s="42">
        <f>IF($B582="","",SUM(L582:Q582)-SUM(R582:U582))</f>
      </c>
      <c r="W582" s="43">
        <f>IF($B582="","",IF(L582="","⚠ Basic salary missing",IF(SUM(R582:U582)&gt;SUM(L582:Q582),"⚠ Deductions exceed earnings",IF(COUNTIF($A$4:$A$1003,$A582)&gt;1,"⚠ Duplicate ID","✓"))))</f>
      </c>
    </row>
    <row r="583" spans="22:23" x14ac:dyDescent="0.25">
      <c r="V583" s="42">
        <f>IF($B583="","",SUM(L583:Q583)-SUM(R583:U583))</f>
      </c>
      <c r="W583" s="43">
        <f>IF($B583="","",IF(L583="","⚠ Basic salary missing",IF(SUM(R583:U583)&gt;SUM(L583:Q583),"⚠ Deductions exceed earnings",IF(COUNTIF($A$4:$A$1003,$A583)&gt;1,"⚠ Duplicate ID","✓"))))</f>
      </c>
    </row>
    <row r="584" spans="22:23" x14ac:dyDescent="0.25">
      <c r="V584" s="42">
        <f>IF($B584="","",SUM(L584:Q584)-SUM(R584:U584))</f>
      </c>
      <c r="W584" s="43">
        <f>IF($B584="","",IF(L584="","⚠ Basic salary missing",IF(SUM(R584:U584)&gt;SUM(L584:Q584),"⚠ Deductions exceed earnings",IF(COUNTIF($A$4:$A$1003,$A584)&gt;1,"⚠ Duplicate ID","✓"))))</f>
      </c>
    </row>
    <row r="585" spans="22:23" x14ac:dyDescent="0.25">
      <c r="V585" s="42">
        <f>IF($B585="","",SUM(L585:Q585)-SUM(R585:U585))</f>
      </c>
      <c r="W585" s="43">
        <f>IF($B585="","",IF(L585="","⚠ Basic salary missing",IF(SUM(R585:U585)&gt;SUM(L585:Q585),"⚠ Deductions exceed earnings",IF(COUNTIF($A$4:$A$1003,$A585)&gt;1,"⚠ Duplicate ID","✓"))))</f>
      </c>
    </row>
    <row r="586" spans="22:23" x14ac:dyDescent="0.25">
      <c r="V586" s="42">
        <f>IF($B586="","",SUM(L586:Q586)-SUM(R586:U586))</f>
      </c>
      <c r="W586" s="43">
        <f>IF($B586="","",IF(L586="","⚠ Basic salary missing",IF(SUM(R586:U586)&gt;SUM(L586:Q586),"⚠ Deductions exceed earnings",IF(COUNTIF($A$4:$A$1003,$A586)&gt;1,"⚠ Duplicate ID","✓"))))</f>
      </c>
    </row>
    <row r="587" spans="22:23" x14ac:dyDescent="0.25">
      <c r="V587" s="42">
        <f>IF($B587="","",SUM(L587:Q587)-SUM(R587:U587))</f>
      </c>
      <c r="W587" s="43">
        <f>IF($B587="","",IF(L587="","⚠ Basic salary missing",IF(SUM(R587:U587)&gt;SUM(L587:Q587),"⚠ Deductions exceed earnings",IF(COUNTIF($A$4:$A$1003,$A587)&gt;1,"⚠ Duplicate ID","✓"))))</f>
      </c>
    </row>
    <row r="588" spans="22:23" x14ac:dyDescent="0.25">
      <c r="V588" s="42">
        <f>IF($B588="","",SUM(L588:Q588)-SUM(R588:U588))</f>
      </c>
      <c r="W588" s="43">
        <f>IF($B588="","",IF(L588="","⚠ Basic salary missing",IF(SUM(R588:U588)&gt;SUM(L588:Q588),"⚠ Deductions exceed earnings",IF(COUNTIF($A$4:$A$1003,$A588)&gt;1,"⚠ Duplicate ID","✓"))))</f>
      </c>
    </row>
    <row r="589" spans="22:23" x14ac:dyDescent="0.25">
      <c r="V589" s="42">
        <f>IF($B589="","",SUM(L589:Q589)-SUM(R589:U589))</f>
      </c>
      <c r="W589" s="43">
        <f>IF($B589="","",IF(L589="","⚠ Basic salary missing",IF(SUM(R589:U589)&gt;SUM(L589:Q589),"⚠ Deductions exceed earnings",IF(COUNTIF($A$4:$A$1003,$A589)&gt;1,"⚠ Duplicate ID","✓"))))</f>
      </c>
    </row>
    <row r="590" spans="22:23" x14ac:dyDescent="0.25">
      <c r="V590" s="42">
        <f>IF($B590="","",SUM(L590:Q590)-SUM(R590:U590))</f>
      </c>
      <c r="W590" s="43">
        <f>IF($B590="","",IF(L590="","⚠ Basic salary missing",IF(SUM(R590:U590)&gt;SUM(L590:Q590),"⚠ Deductions exceed earnings",IF(COUNTIF($A$4:$A$1003,$A590)&gt;1,"⚠ Duplicate ID","✓"))))</f>
      </c>
    </row>
    <row r="591" spans="22:23" x14ac:dyDescent="0.25">
      <c r="V591" s="42">
        <f>IF($B591="","",SUM(L591:Q591)-SUM(R591:U591))</f>
      </c>
      <c r="W591" s="43">
        <f>IF($B591="","",IF(L591="","⚠ Basic salary missing",IF(SUM(R591:U591)&gt;SUM(L591:Q591),"⚠ Deductions exceed earnings",IF(COUNTIF($A$4:$A$1003,$A591)&gt;1,"⚠ Duplicate ID","✓"))))</f>
      </c>
    </row>
    <row r="592" spans="22:23" x14ac:dyDescent="0.25">
      <c r="V592" s="42">
        <f>IF($B592="","",SUM(L592:Q592)-SUM(R592:U592))</f>
      </c>
      <c r="W592" s="43">
        <f>IF($B592="","",IF(L592="","⚠ Basic salary missing",IF(SUM(R592:U592)&gt;SUM(L592:Q592),"⚠ Deductions exceed earnings",IF(COUNTIF($A$4:$A$1003,$A592)&gt;1,"⚠ Duplicate ID","✓"))))</f>
      </c>
    </row>
    <row r="593" spans="22:23" x14ac:dyDescent="0.25">
      <c r="V593" s="42">
        <f>IF($B593="","",SUM(L593:Q593)-SUM(R593:U593))</f>
      </c>
      <c r="W593" s="43">
        <f>IF($B593="","",IF(L593="","⚠ Basic salary missing",IF(SUM(R593:U593)&gt;SUM(L593:Q593),"⚠ Deductions exceed earnings",IF(COUNTIF($A$4:$A$1003,$A593)&gt;1,"⚠ Duplicate ID","✓"))))</f>
      </c>
    </row>
    <row r="594" spans="22:23" x14ac:dyDescent="0.25">
      <c r="V594" s="42">
        <f>IF($B594="","",SUM(L594:Q594)-SUM(R594:U594))</f>
      </c>
      <c r="W594" s="43">
        <f>IF($B594="","",IF(L594="","⚠ Basic salary missing",IF(SUM(R594:U594)&gt;SUM(L594:Q594),"⚠ Deductions exceed earnings",IF(COUNTIF($A$4:$A$1003,$A594)&gt;1,"⚠ Duplicate ID","✓"))))</f>
      </c>
    </row>
    <row r="595" spans="22:23" x14ac:dyDescent="0.25">
      <c r="V595" s="42">
        <f>IF($B595="","",SUM(L595:Q595)-SUM(R595:U595))</f>
      </c>
      <c r="W595" s="43">
        <f>IF($B595="","",IF(L595="","⚠ Basic salary missing",IF(SUM(R595:U595)&gt;SUM(L595:Q595),"⚠ Deductions exceed earnings",IF(COUNTIF($A$4:$A$1003,$A595)&gt;1,"⚠ Duplicate ID","✓"))))</f>
      </c>
    </row>
    <row r="596" spans="22:23" x14ac:dyDescent="0.25">
      <c r="V596" s="42">
        <f>IF($B596="","",SUM(L596:Q596)-SUM(R596:U596))</f>
      </c>
      <c r="W596" s="43">
        <f>IF($B596="","",IF(L596="","⚠ Basic salary missing",IF(SUM(R596:U596)&gt;SUM(L596:Q596),"⚠ Deductions exceed earnings",IF(COUNTIF($A$4:$A$1003,$A596)&gt;1,"⚠ Duplicate ID","✓"))))</f>
      </c>
    </row>
    <row r="597" spans="22:23" x14ac:dyDescent="0.25">
      <c r="V597" s="42">
        <f>IF($B597="","",SUM(L597:Q597)-SUM(R597:U597))</f>
      </c>
      <c r="W597" s="43">
        <f>IF($B597="","",IF(L597="","⚠ Basic salary missing",IF(SUM(R597:U597)&gt;SUM(L597:Q597),"⚠ Deductions exceed earnings",IF(COUNTIF($A$4:$A$1003,$A597)&gt;1,"⚠ Duplicate ID","✓"))))</f>
      </c>
    </row>
    <row r="598" spans="22:23" x14ac:dyDescent="0.25">
      <c r="V598" s="42">
        <f>IF($B598="","",SUM(L598:Q598)-SUM(R598:U598))</f>
      </c>
      <c r="W598" s="43">
        <f>IF($B598="","",IF(L598="","⚠ Basic salary missing",IF(SUM(R598:U598)&gt;SUM(L598:Q598),"⚠ Deductions exceed earnings",IF(COUNTIF($A$4:$A$1003,$A598)&gt;1,"⚠ Duplicate ID","✓"))))</f>
      </c>
    </row>
    <row r="599" spans="22:23" x14ac:dyDescent="0.25">
      <c r="V599" s="42">
        <f>IF($B599="","",SUM(L599:Q599)-SUM(R599:U599))</f>
      </c>
      <c r="W599" s="43">
        <f>IF($B599="","",IF(L599="","⚠ Basic salary missing",IF(SUM(R599:U599)&gt;SUM(L599:Q599),"⚠ Deductions exceed earnings",IF(COUNTIF($A$4:$A$1003,$A599)&gt;1,"⚠ Duplicate ID","✓"))))</f>
      </c>
    </row>
    <row r="600" spans="22:23" x14ac:dyDescent="0.25">
      <c r="V600" s="42">
        <f>IF($B600="","",SUM(L600:Q600)-SUM(R600:U600))</f>
      </c>
      <c r="W600" s="43">
        <f>IF($B600="","",IF(L600="","⚠ Basic salary missing",IF(SUM(R600:U600)&gt;SUM(L600:Q600),"⚠ Deductions exceed earnings",IF(COUNTIF($A$4:$A$1003,$A600)&gt;1,"⚠ Duplicate ID","✓"))))</f>
      </c>
    </row>
    <row r="601" spans="22:23" x14ac:dyDescent="0.25">
      <c r="V601" s="42">
        <f>IF($B601="","",SUM(L601:Q601)-SUM(R601:U601))</f>
      </c>
      <c r="W601" s="43">
        <f>IF($B601="","",IF(L601="","⚠ Basic salary missing",IF(SUM(R601:U601)&gt;SUM(L601:Q601),"⚠ Deductions exceed earnings",IF(COUNTIF($A$4:$A$1003,$A601)&gt;1,"⚠ Duplicate ID","✓"))))</f>
      </c>
    </row>
    <row r="602" spans="22:23" x14ac:dyDescent="0.25">
      <c r="V602" s="42">
        <f>IF($B602="","",SUM(L602:Q602)-SUM(R602:U602))</f>
      </c>
      <c r="W602" s="43">
        <f>IF($B602="","",IF(L602="","⚠ Basic salary missing",IF(SUM(R602:U602)&gt;SUM(L602:Q602),"⚠ Deductions exceed earnings",IF(COUNTIF($A$4:$A$1003,$A602)&gt;1,"⚠ Duplicate ID","✓"))))</f>
      </c>
    </row>
    <row r="603" spans="22:23" x14ac:dyDescent="0.25">
      <c r="V603" s="42">
        <f>IF($B603="","",SUM(L603:Q603)-SUM(R603:U603))</f>
      </c>
      <c r="W603" s="43">
        <f>IF($B603="","",IF(L603="","⚠ Basic salary missing",IF(SUM(R603:U603)&gt;SUM(L603:Q603),"⚠ Deductions exceed earnings",IF(COUNTIF($A$4:$A$1003,$A603)&gt;1,"⚠ Duplicate ID","✓"))))</f>
      </c>
    </row>
    <row r="604" spans="22:23" x14ac:dyDescent="0.25">
      <c r="V604" s="42">
        <f>IF($B604="","",SUM(L604:Q604)-SUM(R604:U604))</f>
      </c>
      <c r="W604" s="43">
        <f>IF($B604="","",IF(L604="","⚠ Basic salary missing",IF(SUM(R604:U604)&gt;SUM(L604:Q604),"⚠ Deductions exceed earnings",IF(COUNTIF($A$4:$A$1003,$A604)&gt;1,"⚠ Duplicate ID","✓"))))</f>
      </c>
    </row>
    <row r="605" spans="22:23" x14ac:dyDescent="0.25">
      <c r="V605" s="42">
        <f>IF($B605="","",SUM(L605:Q605)-SUM(R605:U605))</f>
      </c>
      <c r="W605" s="43">
        <f>IF($B605="","",IF(L605="","⚠ Basic salary missing",IF(SUM(R605:U605)&gt;SUM(L605:Q605),"⚠ Deductions exceed earnings",IF(COUNTIF($A$4:$A$1003,$A605)&gt;1,"⚠ Duplicate ID","✓"))))</f>
      </c>
    </row>
    <row r="606" spans="22:23" x14ac:dyDescent="0.25">
      <c r="V606" s="42">
        <f>IF($B606="","",SUM(L606:Q606)-SUM(R606:U606))</f>
      </c>
      <c r="W606" s="43">
        <f>IF($B606="","",IF(L606="","⚠ Basic salary missing",IF(SUM(R606:U606)&gt;SUM(L606:Q606),"⚠ Deductions exceed earnings",IF(COUNTIF($A$4:$A$1003,$A606)&gt;1,"⚠ Duplicate ID","✓"))))</f>
      </c>
    </row>
    <row r="607" spans="22:23" x14ac:dyDescent="0.25">
      <c r="V607" s="42">
        <f>IF($B607="","",SUM(L607:Q607)-SUM(R607:U607))</f>
      </c>
      <c r="W607" s="43">
        <f>IF($B607="","",IF(L607="","⚠ Basic salary missing",IF(SUM(R607:U607)&gt;SUM(L607:Q607),"⚠ Deductions exceed earnings",IF(COUNTIF($A$4:$A$1003,$A607)&gt;1,"⚠ Duplicate ID","✓"))))</f>
      </c>
    </row>
    <row r="608" spans="22:23" x14ac:dyDescent="0.25">
      <c r="V608" s="42">
        <f>IF($B608="","",SUM(L608:Q608)-SUM(R608:U608))</f>
      </c>
      <c r="W608" s="43">
        <f>IF($B608="","",IF(L608="","⚠ Basic salary missing",IF(SUM(R608:U608)&gt;SUM(L608:Q608),"⚠ Deductions exceed earnings",IF(COUNTIF($A$4:$A$1003,$A608)&gt;1,"⚠ Duplicate ID","✓"))))</f>
      </c>
    </row>
    <row r="609" spans="22:23" x14ac:dyDescent="0.25">
      <c r="V609" s="42">
        <f>IF($B609="","",SUM(L609:Q609)-SUM(R609:U609))</f>
      </c>
      <c r="W609" s="43">
        <f>IF($B609="","",IF(L609="","⚠ Basic salary missing",IF(SUM(R609:U609)&gt;SUM(L609:Q609),"⚠ Deductions exceed earnings",IF(COUNTIF($A$4:$A$1003,$A609)&gt;1,"⚠ Duplicate ID","✓"))))</f>
      </c>
    </row>
    <row r="610" spans="22:23" x14ac:dyDescent="0.25">
      <c r="V610" s="42">
        <f>IF($B610="","",SUM(L610:Q610)-SUM(R610:U610))</f>
      </c>
      <c r="W610" s="43">
        <f>IF($B610="","",IF(L610="","⚠ Basic salary missing",IF(SUM(R610:U610)&gt;SUM(L610:Q610),"⚠ Deductions exceed earnings",IF(COUNTIF($A$4:$A$1003,$A610)&gt;1,"⚠ Duplicate ID","✓"))))</f>
      </c>
    </row>
    <row r="611" spans="22:23" x14ac:dyDescent="0.25">
      <c r="V611" s="42">
        <f>IF($B611="","",SUM(L611:Q611)-SUM(R611:U611))</f>
      </c>
      <c r="W611" s="43">
        <f>IF($B611="","",IF(L611="","⚠ Basic salary missing",IF(SUM(R611:U611)&gt;SUM(L611:Q611),"⚠ Deductions exceed earnings",IF(COUNTIF($A$4:$A$1003,$A611)&gt;1,"⚠ Duplicate ID","✓"))))</f>
      </c>
    </row>
    <row r="612" spans="22:23" x14ac:dyDescent="0.25">
      <c r="V612" s="42">
        <f>IF($B612="","",SUM(L612:Q612)-SUM(R612:U612))</f>
      </c>
      <c r="W612" s="43">
        <f>IF($B612="","",IF(L612="","⚠ Basic salary missing",IF(SUM(R612:U612)&gt;SUM(L612:Q612),"⚠ Deductions exceed earnings",IF(COUNTIF($A$4:$A$1003,$A612)&gt;1,"⚠ Duplicate ID","✓"))))</f>
      </c>
    </row>
    <row r="613" spans="22:23" x14ac:dyDescent="0.25">
      <c r="V613" s="42">
        <f>IF($B613="","",SUM(L613:Q613)-SUM(R613:U613))</f>
      </c>
      <c r="W613" s="43">
        <f>IF($B613="","",IF(L613="","⚠ Basic salary missing",IF(SUM(R613:U613)&gt;SUM(L613:Q613),"⚠ Deductions exceed earnings",IF(COUNTIF($A$4:$A$1003,$A613)&gt;1,"⚠ Duplicate ID","✓"))))</f>
      </c>
    </row>
    <row r="614" spans="22:23" x14ac:dyDescent="0.25">
      <c r="V614" s="42">
        <f>IF($B614="","",SUM(L614:Q614)-SUM(R614:U614))</f>
      </c>
      <c r="W614" s="43">
        <f>IF($B614="","",IF(L614="","⚠ Basic salary missing",IF(SUM(R614:U614)&gt;SUM(L614:Q614),"⚠ Deductions exceed earnings",IF(COUNTIF($A$4:$A$1003,$A614)&gt;1,"⚠ Duplicate ID","✓"))))</f>
      </c>
    </row>
    <row r="615" spans="22:23" x14ac:dyDescent="0.25">
      <c r="V615" s="42">
        <f>IF($B615="","",SUM(L615:Q615)-SUM(R615:U615))</f>
      </c>
      <c r="W615" s="43">
        <f>IF($B615="","",IF(L615="","⚠ Basic salary missing",IF(SUM(R615:U615)&gt;SUM(L615:Q615),"⚠ Deductions exceed earnings",IF(COUNTIF($A$4:$A$1003,$A615)&gt;1,"⚠ Duplicate ID","✓"))))</f>
      </c>
    </row>
    <row r="616" spans="22:23" x14ac:dyDescent="0.25">
      <c r="V616" s="42">
        <f>IF($B616="","",SUM(L616:Q616)-SUM(R616:U616))</f>
      </c>
      <c r="W616" s="43">
        <f>IF($B616="","",IF(L616="","⚠ Basic salary missing",IF(SUM(R616:U616)&gt;SUM(L616:Q616),"⚠ Deductions exceed earnings",IF(COUNTIF($A$4:$A$1003,$A616)&gt;1,"⚠ Duplicate ID","✓"))))</f>
      </c>
    </row>
    <row r="617" spans="22:23" x14ac:dyDescent="0.25">
      <c r="V617" s="42">
        <f>IF($B617="","",SUM(L617:Q617)-SUM(R617:U617))</f>
      </c>
      <c r="W617" s="43">
        <f>IF($B617="","",IF(L617="","⚠ Basic salary missing",IF(SUM(R617:U617)&gt;SUM(L617:Q617),"⚠ Deductions exceed earnings",IF(COUNTIF($A$4:$A$1003,$A617)&gt;1,"⚠ Duplicate ID","✓"))))</f>
      </c>
    </row>
    <row r="618" spans="22:23" x14ac:dyDescent="0.25">
      <c r="V618" s="42">
        <f>IF($B618="","",SUM(L618:Q618)-SUM(R618:U618))</f>
      </c>
      <c r="W618" s="43">
        <f>IF($B618="","",IF(L618="","⚠ Basic salary missing",IF(SUM(R618:U618)&gt;SUM(L618:Q618),"⚠ Deductions exceed earnings",IF(COUNTIF($A$4:$A$1003,$A618)&gt;1,"⚠ Duplicate ID","✓"))))</f>
      </c>
    </row>
    <row r="619" spans="22:23" x14ac:dyDescent="0.25">
      <c r="V619" s="42">
        <f>IF($B619="","",SUM(L619:Q619)-SUM(R619:U619))</f>
      </c>
      <c r="W619" s="43">
        <f>IF($B619="","",IF(L619="","⚠ Basic salary missing",IF(SUM(R619:U619)&gt;SUM(L619:Q619),"⚠ Deductions exceed earnings",IF(COUNTIF($A$4:$A$1003,$A619)&gt;1,"⚠ Duplicate ID","✓"))))</f>
      </c>
    </row>
    <row r="620" spans="22:23" x14ac:dyDescent="0.25">
      <c r="V620" s="42">
        <f>IF($B620="","",SUM(L620:Q620)-SUM(R620:U620))</f>
      </c>
      <c r="W620" s="43">
        <f>IF($B620="","",IF(L620="","⚠ Basic salary missing",IF(SUM(R620:U620)&gt;SUM(L620:Q620),"⚠ Deductions exceed earnings",IF(COUNTIF($A$4:$A$1003,$A620)&gt;1,"⚠ Duplicate ID","✓"))))</f>
      </c>
    </row>
    <row r="621" spans="22:23" x14ac:dyDescent="0.25">
      <c r="V621" s="42">
        <f>IF($B621="","",SUM(L621:Q621)-SUM(R621:U621))</f>
      </c>
      <c r="W621" s="43">
        <f>IF($B621="","",IF(L621="","⚠ Basic salary missing",IF(SUM(R621:U621)&gt;SUM(L621:Q621),"⚠ Deductions exceed earnings",IF(COUNTIF($A$4:$A$1003,$A621)&gt;1,"⚠ Duplicate ID","✓"))))</f>
      </c>
    </row>
    <row r="622" spans="22:23" x14ac:dyDescent="0.25">
      <c r="V622" s="42">
        <f>IF($B622="","",SUM(L622:Q622)-SUM(R622:U622))</f>
      </c>
      <c r="W622" s="43">
        <f>IF($B622="","",IF(L622="","⚠ Basic salary missing",IF(SUM(R622:U622)&gt;SUM(L622:Q622),"⚠ Deductions exceed earnings",IF(COUNTIF($A$4:$A$1003,$A622)&gt;1,"⚠ Duplicate ID","✓"))))</f>
      </c>
    </row>
    <row r="623" spans="22:23" x14ac:dyDescent="0.25">
      <c r="V623" s="42">
        <f>IF($B623="","",SUM(L623:Q623)-SUM(R623:U623))</f>
      </c>
      <c r="W623" s="43">
        <f>IF($B623="","",IF(L623="","⚠ Basic salary missing",IF(SUM(R623:U623)&gt;SUM(L623:Q623),"⚠ Deductions exceed earnings",IF(COUNTIF($A$4:$A$1003,$A623)&gt;1,"⚠ Duplicate ID","✓"))))</f>
      </c>
    </row>
    <row r="624" spans="22:23" x14ac:dyDescent="0.25">
      <c r="V624" s="42">
        <f>IF($B624="","",SUM(L624:Q624)-SUM(R624:U624))</f>
      </c>
      <c r="W624" s="43">
        <f>IF($B624="","",IF(L624="","⚠ Basic salary missing",IF(SUM(R624:U624)&gt;SUM(L624:Q624),"⚠ Deductions exceed earnings",IF(COUNTIF($A$4:$A$1003,$A624)&gt;1,"⚠ Duplicate ID","✓"))))</f>
      </c>
    </row>
    <row r="625" spans="22:23" x14ac:dyDescent="0.25">
      <c r="V625" s="42">
        <f>IF($B625="","",SUM(L625:Q625)-SUM(R625:U625))</f>
      </c>
      <c r="W625" s="43">
        <f>IF($B625="","",IF(L625="","⚠ Basic salary missing",IF(SUM(R625:U625)&gt;SUM(L625:Q625),"⚠ Deductions exceed earnings",IF(COUNTIF($A$4:$A$1003,$A625)&gt;1,"⚠ Duplicate ID","✓"))))</f>
      </c>
    </row>
    <row r="626" spans="22:23" x14ac:dyDescent="0.25">
      <c r="V626" s="42">
        <f>IF($B626="","",SUM(L626:Q626)-SUM(R626:U626))</f>
      </c>
      <c r="W626" s="43">
        <f>IF($B626="","",IF(L626="","⚠ Basic salary missing",IF(SUM(R626:U626)&gt;SUM(L626:Q626),"⚠ Deductions exceed earnings",IF(COUNTIF($A$4:$A$1003,$A626)&gt;1,"⚠ Duplicate ID","✓"))))</f>
      </c>
    </row>
    <row r="627" spans="22:23" x14ac:dyDescent="0.25">
      <c r="V627" s="42">
        <f>IF($B627="","",SUM(L627:Q627)-SUM(R627:U627))</f>
      </c>
      <c r="W627" s="43">
        <f>IF($B627="","",IF(L627="","⚠ Basic salary missing",IF(SUM(R627:U627)&gt;SUM(L627:Q627),"⚠ Deductions exceed earnings",IF(COUNTIF($A$4:$A$1003,$A627)&gt;1,"⚠ Duplicate ID","✓"))))</f>
      </c>
    </row>
    <row r="628" spans="22:23" x14ac:dyDescent="0.25">
      <c r="V628" s="42">
        <f>IF($B628="","",SUM(L628:Q628)-SUM(R628:U628))</f>
      </c>
      <c r="W628" s="43">
        <f>IF($B628="","",IF(L628="","⚠ Basic salary missing",IF(SUM(R628:U628)&gt;SUM(L628:Q628),"⚠ Deductions exceed earnings",IF(COUNTIF($A$4:$A$1003,$A628)&gt;1,"⚠ Duplicate ID","✓"))))</f>
      </c>
    </row>
    <row r="629" spans="22:23" x14ac:dyDescent="0.25">
      <c r="V629" s="42">
        <f>IF($B629="","",SUM(L629:Q629)-SUM(R629:U629))</f>
      </c>
      <c r="W629" s="43">
        <f>IF($B629="","",IF(L629="","⚠ Basic salary missing",IF(SUM(R629:U629)&gt;SUM(L629:Q629),"⚠ Deductions exceed earnings",IF(COUNTIF($A$4:$A$1003,$A629)&gt;1,"⚠ Duplicate ID","✓"))))</f>
      </c>
    </row>
    <row r="630" spans="22:23" x14ac:dyDescent="0.25">
      <c r="V630" s="42">
        <f>IF($B630="","",SUM(L630:Q630)-SUM(R630:U630))</f>
      </c>
      <c r="W630" s="43">
        <f>IF($B630="","",IF(L630="","⚠ Basic salary missing",IF(SUM(R630:U630)&gt;SUM(L630:Q630),"⚠ Deductions exceed earnings",IF(COUNTIF($A$4:$A$1003,$A630)&gt;1,"⚠ Duplicate ID","✓"))))</f>
      </c>
    </row>
    <row r="631" spans="22:23" x14ac:dyDescent="0.25">
      <c r="V631" s="42">
        <f>IF($B631="","",SUM(L631:Q631)-SUM(R631:U631))</f>
      </c>
      <c r="W631" s="43">
        <f>IF($B631="","",IF(L631="","⚠ Basic salary missing",IF(SUM(R631:U631)&gt;SUM(L631:Q631),"⚠ Deductions exceed earnings",IF(COUNTIF($A$4:$A$1003,$A631)&gt;1,"⚠ Duplicate ID","✓"))))</f>
      </c>
    </row>
    <row r="632" spans="22:23" x14ac:dyDescent="0.25">
      <c r="V632" s="42">
        <f>IF($B632="","",SUM(L632:Q632)-SUM(R632:U632))</f>
      </c>
      <c r="W632" s="43">
        <f>IF($B632="","",IF(L632="","⚠ Basic salary missing",IF(SUM(R632:U632)&gt;SUM(L632:Q632),"⚠ Deductions exceed earnings",IF(COUNTIF($A$4:$A$1003,$A632)&gt;1,"⚠ Duplicate ID","✓"))))</f>
      </c>
    </row>
    <row r="633" spans="22:23" x14ac:dyDescent="0.25">
      <c r="V633" s="42">
        <f>IF($B633="","",SUM(L633:Q633)-SUM(R633:U633))</f>
      </c>
      <c r="W633" s="43">
        <f>IF($B633="","",IF(L633="","⚠ Basic salary missing",IF(SUM(R633:U633)&gt;SUM(L633:Q633),"⚠ Deductions exceed earnings",IF(COUNTIF($A$4:$A$1003,$A633)&gt;1,"⚠ Duplicate ID","✓"))))</f>
      </c>
    </row>
    <row r="634" spans="22:23" x14ac:dyDescent="0.25">
      <c r="V634" s="42">
        <f>IF($B634="","",SUM(L634:Q634)-SUM(R634:U634))</f>
      </c>
      <c r="W634" s="43">
        <f>IF($B634="","",IF(L634="","⚠ Basic salary missing",IF(SUM(R634:U634)&gt;SUM(L634:Q634),"⚠ Deductions exceed earnings",IF(COUNTIF($A$4:$A$1003,$A634)&gt;1,"⚠ Duplicate ID","✓"))))</f>
      </c>
    </row>
    <row r="635" spans="22:23" x14ac:dyDescent="0.25">
      <c r="V635" s="42">
        <f>IF($B635="","",SUM(L635:Q635)-SUM(R635:U635))</f>
      </c>
      <c r="W635" s="43">
        <f>IF($B635="","",IF(L635="","⚠ Basic salary missing",IF(SUM(R635:U635)&gt;SUM(L635:Q635),"⚠ Deductions exceed earnings",IF(COUNTIF($A$4:$A$1003,$A635)&gt;1,"⚠ Duplicate ID","✓"))))</f>
      </c>
    </row>
    <row r="636" spans="22:23" x14ac:dyDescent="0.25">
      <c r="V636" s="42">
        <f>IF($B636="","",SUM(L636:Q636)-SUM(R636:U636))</f>
      </c>
      <c r="W636" s="43">
        <f>IF($B636="","",IF(L636="","⚠ Basic salary missing",IF(SUM(R636:U636)&gt;SUM(L636:Q636),"⚠ Deductions exceed earnings",IF(COUNTIF($A$4:$A$1003,$A636)&gt;1,"⚠ Duplicate ID","✓"))))</f>
      </c>
    </row>
    <row r="637" spans="22:23" x14ac:dyDescent="0.25">
      <c r="V637" s="42">
        <f>IF($B637="","",SUM(L637:Q637)-SUM(R637:U637))</f>
      </c>
      <c r="W637" s="43">
        <f>IF($B637="","",IF(L637="","⚠ Basic salary missing",IF(SUM(R637:U637)&gt;SUM(L637:Q637),"⚠ Deductions exceed earnings",IF(COUNTIF($A$4:$A$1003,$A637)&gt;1,"⚠ Duplicate ID","✓"))))</f>
      </c>
    </row>
    <row r="638" spans="22:23" x14ac:dyDescent="0.25">
      <c r="V638" s="42">
        <f>IF($B638="","",SUM(L638:Q638)-SUM(R638:U638))</f>
      </c>
      <c r="W638" s="43">
        <f>IF($B638="","",IF(L638="","⚠ Basic salary missing",IF(SUM(R638:U638)&gt;SUM(L638:Q638),"⚠ Deductions exceed earnings",IF(COUNTIF($A$4:$A$1003,$A638)&gt;1,"⚠ Duplicate ID","✓"))))</f>
      </c>
    </row>
    <row r="639" spans="22:23" x14ac:dyDescent="0.25">
      <c r="V639" s="42">
        <f>IF($B639="","",SUM(L639:Q639)-SUM(R639:U639))</f>
      </c>
      <c r="W639" s="43">
        <f>IF($B639="","",IF(L639="","⚠ Basic salary missing",IF(SUM(R639:U639)&gt;SUM(L639:Q639),"⚠ Deductions exceed earnings",IF(COUNTIF($A$4:$A$1003,$A639)&gt;1,"⚠ Duplicate ID","✓"))))</f>
      </c>
    </row>
    <row r="640" spans="22:23" x14ac:dyDescent="0.25">
      <c r="V640" s="42">
        <f>IF($B640="","",SUM(L640:Q640)-SUM(R640:U640))</f>
      </c>
      <c r="W640" s="43">
        <f>IF($B640="","",IF(L640="","⚠ Basic salary missing",IF(SUM(R640:U640)&gt;SUM(L640:Q640),"⚠ Deductions exceed earnings",IF(COUNTIF($A$4:$A$1003,$A640)&gt;1,"⚠ Duplicate ID","✓"))))</f>
      </c>
    </row>
    <row r="641" spans="22:23" x14ac:dyDescent="0.25">
      <c r="V641" s="42">
        <f>IF($B641="","",SUM(L641:Q641)-SUM(R641:U641))</f>
      </c>
      <c r="W641" s="43">
        <f>IF($B641="","",IF(L641="","⚠ Basic salary missing",IF(SUM(R641:U641)&gt;SUM(L641:Q641),"⚠ Deductions exceed earnings",IF(COUNTIF($A$4:$A$1003,$A641)&gt;1,"⚠ Duplicate ID","✓"))))</f>
      </c>
    </row>
    <row r="642" spans="22:23" x14ac:dyDescent="0.25">
      <c r="V642" s="42">
        <f>IF($B642="","",SUM(L642:Q642)-SUM(R642:U642))</f>
      </c>
      <c r="W642" s="43">
        <f>IF($B642="","",IF(L642="","⚠ Basic salary missing",IF(SUM(R642:U642)&gt;SUM(L642:Q642),"⚠ Deductions exceed earnings",IF(COUNTIF($A$4:$A$1003,$A642)&gt;1,"⚠ Duplicate ID","✓"))))</f>
      </c>
    </row>
    <row r="643" spans="22:23" x14ac:dyDescent="0.25">
      <c r="V643" s="42">
        <f>IF($B643="","",SUM(L643:Q643)-SUM(R643:U643))</f>
      </c>
      <c r="W643" s="43">
        <f>IF($B643="","",IF(L643="","⚠ Basic salary missing",IF(SUM(R643:U643)&gt;SUM(L643:Q643),"⚠ Deductions exceed earnings",IF(COUNTIF($A$4:$A$1003,$A643)&gt;1,"⚠ Duplicate ID","✓"))))</f>
      </c>
    </row>
    <row r="644" spans="22:23" x14ac:dyDescent="0.25">
      <c r="V644" s="42">
        <f>IF($B644="","",SUM(L644:Q644)-SUM(R644:U644))</f>
      </c>
      <c r="W644" s="43">
        <f>IF($B644="","",IF(L644="","⚠ Basic salary missing",IF(SUM(R644:U644)&gt;SUM(L644:Q644),"⚠ Deductions exceed earnings",IF(COUNTIF($A$4:$A$1003,$A644)&gt;1,"⚠ Duplicate ID","✓"))))</f>
      </c>
    </row>
    <row r="645" spans="22:23" x14ac:dyDescent="0.25">
      <c r="V645" s="42">
        <f>IF($B645="","",SUM(L645:Q645)-SUM(R645:U645))</f>
      </c>
      <c r="W645" s="43">
        <f>IF($B645="","",IF(L645="","⚠ Basic salary missing",IF(SUM(R645:U645)&gt;SUM(L645:Q645),"⚠ Deductions exceed earnings",IF(COUNTIF($A$4:$A$1003,$A645)&gt;1,"⚠ Duplicate ID","✓"))))</f>
      </c>
    </row>
    <row r="646" spans="22:23" x14ac:dyDescent="0.25">
      <c r="V646" s="42">
        <f>IF($B646="","",SUM(L646:Q646)-SUM(R646:U646))</f>
      </c>
      <c r="W646" s="43">
        <f>IF($B646="","",IF(L646="","⚠ Basic salary missing",IF(SUM(R646:U646)&gt;SUM(L646:Q646),"⚠ Deductions exceed earnings",IF(COUNTIF($A$4:$A$1003,$A646)&gt;1,"⚠ Duplicate ID","✓"))))</f>
      </c>
    </row>
    <row r="647" spans="22:23" x14ac:dyDescent="0.25">
      <c r="V647" s="42">
        <f>IF($B647="","",SUM(L647:Q647)-SUM(R647:U647))</f>
      </c>
      <c r="W647" s="43">
        <f>IF($B647="","",IF(L647="","⚠ Basic salary missing",IF(SUM(R647:U647)&gt;SUM(L647:Q647),"⚠ Deductions exceed earnings",IF(COUNTIF($A$4:$A$1003,$A647)&gt;1,"⚠ Duplicate ID","✓"))))</f>
      </c>
    </row>
    <row r="648" spans="22:23" x14ac:dyDescent="0.25">
      <c r="V648" s="42">
        <f>IF($B648="","",SUM(L648:Q648)-SUM(R648:U648))</f>
      </c>
      <c r="W648" s="43">
        <f>IF($B648="","",IF(L648="","⚠ Basic salary missing",IF(SUM(R648:U648)&gt;SUM(L648:Q648),"⚠ Deductions exceed earnings",IF(COUNTIF($A$4:$A$1003,$A648)&gt;1,"⚠ Duplicate ID","✓"))))</f>
      </c>
    </row>
    <row r="649" spans="22:23" x14ac:dyDescent="0.25">
      <c r="V649" s="42">
        <f>IF($B649="","",SUM(L649:Q649)-SUM(R649:U649))</f>
      </c>
      <c r="W649" s="43">
        <f>IF($B649="","",IF(L649="","⚠ Basic salary missing",IF(SUM(R649:U649)&gt;SUM(L649:Q649),"⚠ Deductions exceed earnings",IF(COUNTIF($A$4:$A$1003,$A649)&gt;1,"⚠ Duplicate ID","✓"))))</f>
      </c>
    </row>
    <row r="650" spans="22:23" x14ac:dyDescent="0.25">
      <c r="V650" s="42">
        <f>IF($B650="","",SUM(L650:Q650)-SUM(R650:U650))</f>
      </c>
      <c r="W650" s="43">
        <f>IF($B650="","",IF(L650="","⚠ Basic salary missing",IF(SUM(R650:U650)&gt;SUM(L650:Q650),"⚠ Deductions exceed earnings",IF(COUNTIF($A$4:$A$1003,$A650)&gt;1,"⚠ Duplicate ID","✓"))))</f>
      </c>
    </row>
    <row r="651" spans="22:23" x14ac:dyDescent="0.25">
      <c r="V651" s="42">
        <f>IF($B651="","",SUM(L651:Q651)-SUM(R651:U651))</f>
      </c>
      <c r="W651" s="43">
        <f>IF($B651="","",IF(L651="","⚠ Basic salary missing",IF(SUM(R651:U651)&gt;SUM(L651:Q651),"⚠ Deductions exceed earnings",IF(COUNTIF($A$4:$A$1003,$A651)&gt;1,"⚠ Duplicate ID","✓"))))</f>
      </c>
    </row>
    <row r="652" spans="22:23" x14ac:dyDescent="0.25">
      <c r="V652" s="42">
        <f>IF($B652="","",SUM(L652:Q652)-SUM(R652:U652))</f>
      </c>
      <c r="W652" s="43">
        <f>IF($B652="","",IF(L652="","⚠ Basic salary missing",IF(SUM(R652:U652)&gt;SUM(L652:Q652),"⚠ Deductions exceed earnings",IF(COUNTIF($A$4:$A$1003,$A652)&gt;1,"⚠ Duplicate ID","✓"))))</f>
      </c>
    </row>
    <row r="653" spans="22:23" x14ac:dyDescent="0.25">
      <c r="V653" s="42">
        <f>IF($B653="","",SUM(L653:Q653)-SUM(R653:U653))</f>
      </c>
      <c r="W653" s="43">
        <f>IF($B653="","",IF(L653="","⚠ Basic salary missing",IF(SUM(R653:U653)&gt;SUM(L653:Q653),"⚠ Deductions exceed earnings",IF(COUNTIF($A$4:$A$1003,$A653)&gt;1,"⚠ Duplicate ID","✓"))))</f>
      </c>
    </row>
    <row r="654" spans="22:23" x14ac:dyDescent="0.25">
      <c r="V654" s="42">
        <f>IF($B654="","",SUM(L654:Q654)-SUM(R654:U654))</f>
      </c>
      <c r="W654" s="43">
        <f>IF($B654="","",IF(L654="","⚠ Basic salary missing",IF(SUM(R654:U654)&gt;SUM(L654:Q654),"⚠ Deductions exceed earnings",IF(COUNTIF($A$4:$A$1003,$A654)&gt;1,"⚠ Duplicate ID","✓"))))</f>
      </c>
    </row>
    <row r="655" spans="22:23" x14ac:dyDescent="0.25">
      <c r="V655" s="42">
        <f>IF($B655="","",SUM(L655:Q655)-SUM(R655:U655))</f>
      </c>
      <c r="W655" s="43">
        <f>IF($B655="","",IF(L655="","⚠ Basic salary missing",IF(SUM(R655:U655)&gt;SUM(L655:Q655),"⚠ Deductions exceed earnings",IF(COUNTIF($A$4:$A$1003,$A655)&gt;1,"⚠ Duplicate ID","✓"))))</f>
      </c>
    </row>
    <row r="656" spans="22:23" x14ac:dyDescent="0.25">
      <c r="V656" s="42">
        <f>IF($B656="","",SUM(L656:Q656)-SUM(R656:U656))</f>
      </c>
      <c r="W656" s="43">
        <f>IF($B656="","",IF(L656="","⚠ Basic salary missing",IF(SUM(R656:U656)&gt;SUM(L656:Q656),"⚠ Deductions exceed earnings",IF(COUNTIF($A$4:$A$1003,$A656)&gt;1,"⚠ Duplicate ID","✓"))))</f>
      </c>
    </row>
    <row r="657" spans="22:23" x14ac:dyDescent="0.25">
      <c r="V657" s="42">
        <f>IF($B657="","",SUM(L657:Q657)-SUM(R657:U657))</f>
      </c>
      <c r="W657" s="43">
        <f>IF($B657="","",IF(L657="","⚠ Basic salary missing",IF(SUM(R657:U657)&gt;SUM(L657:Q657),"⚠ Deductions exceed earnings",IF(COUNTIF($A$4:$A$1003,$A657)&gt;1,"⚠ Duplicate ID","✓"))))</f>
      </c>
    </row>
    <row r="658" spans="22:23" x14ac:dyDescent="0.25">
      <c r="V658" s="42">
        <f>IF($B658="","",SUM(L658:Q658)-SUM(R658:U658))</f>
      </c>
      <c r="W658" s="43">
        <f>IF($B658="","",IF(L658="","⚠ Basic salary missing",IF(SUM(R658:U658)&gt;SUM(L658:Q658),"⚠ Deductions exceed earnings",IF(COUNTIF($A$4:$A$1003,$A658)&gt;1,"⚠ Duplicate ID","✓"))))</f>
      </c>
    </row>
    <row r="659" spans="22:23" x14ac:dyDescent="0.25">
      <c r="V659" s="42">
        <f>IF($B659="","",SUM(L659:Q659)-SUM(R659:U659))</f>
      </c>
      <c r="W659" s="43">
        <f>IF($B659="","",IF(L659="","⚠ Basic salary missing",IF(SUM(R659:U659)&gt;SUM(L659:Q659),"⚠ Deductions exceed earnings",IF(COUNTIF($A$4:$A$1003,$A659)&gt;1,"⚠ Duplicate ID","✓"))))</f>
      </c>
    </row>
    <row r="660" spans="22:23" x14ac:dyDescent="0.25">
      <c r="V660" s="42">
        <f>IF($B660="","",SUM(L660:Q660)-SUM(R660:U660))</f>
      </c>
      <c r="W660" s="43">
        <f>IF($B660="","",IF(L660="","⚠ Basic salary missing",IF(SUM(R660:U660)&gt;SUM(L660:Q660),"⚠ Deductions exceed earnings",IF(COUNTIF($A$4:$A$1003,$A660)&gt;1,"⚠ Duplicate ID","✓"))))</f>
      </c>
    </row>
    <row r="661" spans="22:23" x14ac:dyDescent="0.25">
      <c r="V661" s="42">
        <f>IF($B661="","",SUM(L661:Q661)-SUM(R661:U661))</f>
      </c>
      <c r="W661" s="43">
        <f>IF($B661="","",IF(L661="","⚠ Basic salary missing",IF(SUM(R661:U661)&gt;SUM(L661:Q661),"⚠ Deductions exceed earnings",IF(COUNTIF($A$4:$A$1003,$A661)&gt;1,"⚠ Duplicate ID","✓"))))</f>
      </c>
    </row>
    <row r="662" spans="22:23" x14ac:dyDescent="0.25">
      <c r="V662" s="42">
        <f>IF($B662="","",SUM(L662:Q662)-SUM(R662:U662))</f>
      </c>
      <c r="W662" s="43">
        <f>IF($B662="","",IF(L662="","⚠ Basic salary missing",IF(SUM(R662:U662)&gt;SUM(L662:Q662),"⚠ Deductions exceed earnings",IF(COUNTIF($A$4:$A$1003,$A662)&gt;1,"⚠ Duplicate ID","✓"))))</f>
      </c>
    </row>
    <row r="663" spans="22:23" x14ac:dyDescent="0.25">
      <c r="V663" s="42">
        <f>IF($B663="","",SUM(L663:Q663)-SUM(R663:U663))</f>
      </c>
      <c r="W663" s="43">
        <f>IF($B663="","",IF(L663="","⚠ Basic salary missing",IF(SUM(R663:U663)&gt;SUM(L663:Q663),"⚠ Deductions exceed earnings",IF(COUNTIF($A$4:$A$1003,$A663)&gt;1,"⚠ Duplicate ID","✓"))))</f>
      </c>
    </row>
    <row r="664" spans="22:23" x14ac:dyDescent="0.25">
      <c r="V664" s="42">
        <f>IF($B664="","",SUM(L664:Q664)-SUM(R664:U664))</f>
      </c>
      <c r="W664" s="43">
        <f>IF($B664="","",IF(L664="","⚠ Basic salary missing",IF(SUM(R664:U664)&gt;SUM(L664:Q664),"⚠ Deductions exceed earnings",IF(COUNTIF($A$4:$A$1003,$A664)&gt;1,"⚠ Duplicate ID","✓"))))</f>
      </c>
    </row>
    <row r="665" spans="22:23" x14ac:dyDescent="0.25">
      <c r="V665" s="42">
        <f>IF($B665="","",SUM(L665:Q665)-SUM(R665:U665))</f>
      </c>
      <c r="W665" s="43">
        <f>IF($B665="","",IF(L665="","⚠ Basic salary missing",IF(SUM(R665:U665)&gt;SUM(L665:Q665),"⚠ Deductions exceed earnings",IF(COUNTIF($A$4:$A$1003,$A665)&gt;1,"⚠ Duplicate ID","✓"))))</f>
      </c>
    </row>
    <row r="666" spans="22:23" x14ac:dyDescent="0.25">
      <c r="V666" s="42">
        <f>IF($B666="","",SUM(L666:Q666)-SUM(R666:U666))</f>
      </c>
      <c r="W666" s="43">
        <f>IF($B666="","",IF(L666="","⚠ Basic salary missing",IF(SUM(R666:U666)&gt;SUM(L666:Q666),"⚠ Deductions exceed earnings",IF(COUNTIF($A$4:$A$1003,$A666)&gt;1,"⚠ Duplicate ID","✓"))))</f>
      </c>
    </row>
    <row r="667" spans="22:23" x14ac:dyDescent="0.25">
      <c r="V667" s="42">
        <f>IF($B667="","",SUM(L667:Q667)-SUM(R667:U667))</f>
      </c>
      <c r="W667" s="43">
        <f>IF($B667="","",IF(L667="","⚠ Basic salary missing",IF(SUM(R667:U667)&gt;SUM(L667:Q667),"⚠ Deductions exceed earnings",IF(COUNTIF($A$4:$A$1003,$A667)&gt;1,"⚠ Duplicate ID","✓"))))</f>
      </c>
    </row>
    <row r="668" spans="22:23" x14ac:dyDescent="0.25">
      <c r="V668" s="42">
        <f>IF($B668="","",SUM(L668:Q668)-SUM(R668:U668))</f>
      </c>
      <c r="W668" s="43">
        <f>IF($B668="","",IF(L668="","⚠ Basic salary missing",IF(SUM(R668:U668)&gt;SUM(L668:Q668),"⚠ Deductions exceed earnings",IF(COUNTIF($A$4:$A$1003,$A668)&gt;1,"⚠ Duplicate ID","✓"))))</f>
      </c>
    </row>
    <row r="669" spans="22:23" x14ac:dyDescent="0.25">
      <c r="V669" s="42">
        <f>IF($B669="","",SUM(L669:Q669)-SUM(R669:U669))</f>
      </c>
      <c r="W669" s="43">
        <f>IF($B669="","",IF(L669="","⚠ Basic salary missing",IF(SUM(R669:U669)&gt;SUM(L669:Q669),"⚠ Deductions exceed earnings",IF(COUNTIF($A$4:$A$1003,$A669)&gt;1,"⚠ Duplicate ID","✓"))))</f>
      </c>
    </row>
    <row r="670" spans="22:23" x14ac:dyDescent="0.25">
      <c r="V670" s="42">
        <f>IF($B670="","",SUM(L670:Q670)-SUM(R670:U670))</f>
      </c>
      <c r="W670" s="43">
        <f>IF($B670="","",IF(L670="","⚠ Basic salary missing",IF(SUM(R670:U670)&gt;SUM(L670:Q670),"⚠ Deductions exceed earnings",IF(COUNTIF($A$4:$A$1003,$A670)&gt;1,"⚠ Duplicate ID","✓"))))</f>
      </c>
    </row>
    <row r="671" spans="22:23" x14ac:dyDescent="0.25">
      <c r="V671" s="42">
        <f>IF($B671="","",SUM(L671:Q671)-SUM(R671:U671))</f>
      </c>
      <c r="W671" s="43">
        <f>IF($B671="","",IF(L671="","⚠ Basic salary missing",IF(SUM(R671:U671)&gt;SUM(L671:Q671),"⚠ Deductions exceed earnings",IF(COUNTIF($A$4:$A$1003,$A671)&gt;1,"⚠ Duplicate ID","✓"))))</f>
      </c>
    </row>
    <row r="672" spans="22:23" x14ac:dyDescent="0.25">
      <c r="V672" s="42">
        <f>IF($B672="","",SUM(L672:Q672)-SUM(R672:U672))</f>
      </c>
      <c r="W672" s="43">
        <f>IF($B672="","",IF(L672="","⚠ Basic salary missing",IF(SUM(R672:U672)&gt;SUM(L672:Q672),"⚠ Deductions exceed earnings",IF(COUNTIF($A$4:$A$1003,$A672)&gt;1,"⚠ Duplicate ID","✓"))))</f>
      </c>
    </row>
    <row r="673" spans="22:23" x14ac:dyDescent="0.25">
      <c r="V673" s="42">
        <f>IF($B673="","",SUM(L673:Q673)-SUM(R673:U673))</f>
      </c>
      <c r="W673" s="43">
        <f>IF($B673="","",IF(L673="","⚠ Basic salary missing",IF(SUM(R673:U673)&gt;SUM(L673:Q673),"⚠ Deductions exceed earnings",IF(COUNTIF($A$4:$A$1003,$A673)&gt;1,"⚠ Duplicate ID","✓"))))</f>
      </c>
    </row>
    <row r="674" spans="22:23" x14ac:dyDescent="0.25">
      <c r="V674" s="42">
        <f>IF($B674="","",SUM(L674:Q674)-SUM(R674:U674))</f>
      </c>
      <c r="W674" s="43">
        <f>IF($B674="","",IF(L674="","⚠ Basic salary missing",IF(SUM(R674:U674)&gt;SUM(L674:Q674),"⚠ Deductions exceed earnings",IF(COUNTIF($A$4:$A$1003,$A674)&gt;1,"⚠ Duplicate ID","✓"))))</f>
      </c>
    </row>
    <row r="675" spans="22:23" x14ac:dyDescent="0.25">
      <c r="V675" s="42">
        <f>IF($B675="","",SUM(L675:Q675)-SUM(R675:U675))</f>
      </c>
      <c r="W675" s="43">
        <f>IF($B675="","",IF(L675="","⚠ Basic salary missing",IF(SUM(R675:U675)&gt;SUM(L675:Q675),"⚠ Deductions exceed earnings",IF(COUNTIF($A$4:$A$1003,$A675)&gt;1,"⚠ Duplicate ID","✓"))))</f>
      </c>
    </row>
    <row r="676" spans="22:23" x14ac:dyDescent="0.25">
      <c r="V676" s="42">
        <f>IF($B676="","",SUM(L676:Q676)-SUM(R676:U676))</f>
      </c>
      <c r="W676" s="43">
        <f>IF($B676="","",IF(L676="","⚠ Basic salary missing",IF(SUM(R676:U676)&gt;SUM(L676:Q676),"⚠ Deductions exceed earnings",IF(COUNTIF($A$4:$A$1003,$A676)&gt;1,"⚠ Duplicate ID","✓"))))</f>
      </c>
    </row>
    <row r="677" spans="22:23" x14ac:dyDescent="0.25">
      <c r="V677" s="42">
        <f>IF($B677="","",SUM(L677:Q677)-SUM(R677:U677))</f>
      </c>
      <c r="W677" s="43">
        <f>IF($B677="","",IF(L677="","⚠ Basic salary missing",IF(SUM(R677:U677)&gt;SUM(L677:Q677),"⚠ Deductions exceed earnings",IF(COUNTIF($A$4:$A$1003,$A677)&gt;1,"⚠ Duplicate ID","✓"))))</f>
      </c>
    </row>
    <row r="678" spans="22:23" x14ac:dyDescent="0.25">
      <c r="V678" s="42">
        <f>IF($B678="","",SUM(L678:Q678)-SUM(R678:U678))</f>
      </c>
      <c r="W678" s="43">
        <f>IF($B678="","",IF(L678="","⚠ Basic salary missing",IF(SUM(R678:U678)&gt;SUM(L678:Q678),"⚠ Deductions exceed earnings",IF(COUNTIF($A$4:$A$1003,$A678)&gt;1,"⚠ Duplicate ID","✓"))))</f>
      </c>
    </row>
    <row r="679" spans="22:23" x14ac:dyDescent="0.25">
      <c r="V679" s="42">
        <f>IF($B679="","",SUM(L679:Q679)-SUM(R679:U679))</f>
      </c>
      <c r="W679" s="43">
        <f>IF($B679="","",IF(L679="","⚠ Basic salary missing",IF(SUM(R679:U679)&gt;SUM(L679:Q679),"⚠ Deductions exceed earnings",IF(COUNTIF($A$4:$A$1003,$A679)&gt;1,"⚠ Duplicate ID","✓"))))</f>
      </c>
    </row>
    <row r="680" spans="22:23" x14ac:dyDescent="0.25">
      <c r="V680" s="42">
        <f>IF($B680="","",SUM(L680:Q680)-SUM(R680:U680))</f>
      </c>
      <c r="W680" s="43">
        <f>IF($B680="","",IF(L680="","⚠ Basic salary missing",IF(SUM(R680:U680)&gt;SUM(L680:Q680),"⚠ Deductions exceed earnings",IF(COUNTIF($A$4:$A$1003,$A680)&gt;1,"⚠ Duplicate ID","✓"))))</f>
      </c>
    </row>
    <row r="681" spans="22:23" x14ac:dyDescent="0.25">
      <c r="V681" s="42">
        <f>IF($B681="","",SUM(L681:Q681)-SUM(R681:U681))</f>
      </c>
      <c r="W681" s="43">
        <f>IF($B681="","",IF(L681="","⚠ Basic salary missing",IF(SUM(R681:U681)&gt;SUM(L681:Q681),"⚠ Deductions exceed earnings",IF(COUNTIF($A$4:$A$1003,$A681)&gt;1,"⚠ Duplicate ID","✓"))))</f>
      </c>
    </row>
    <row r="682" spans="22:23" x14ac:dyDescent="0.25">
      <c r="V682" s="42">
        <f>IF($B682="","",SUM(L682:Q682)-SUM(R682:U682))</f>
      </c>
      <c r="W682" s="43">
        <f>IF($B682="","",IF(L682="","⚠ Basic salary missing",IF(SUM(R682:U682)&gt;SUM(L682:Q682),"⚠ Deductions exceed earnings",IF(COUNTIF($A$4:$A$1003,$A682)&gt;1,"⚠ Duplicate ID","✓"))))</f>
      </c>
    </row>
    <row r="683" spans="22:23" x14ac:dyDescent="0.25">
      <c r="V683" s="42">
        <f>IF($B683="","",SUM(L683:Q683)-SUM(R683:U683))</f>
      </c>
      <c r="W683" s="43">
        <f>IF($B683="","",IF(L683="","⚠ Basic salary missing",IF(SUM(R683:U683)&gt;SUM(L683:Q683),"⚠ Deductions exceed earnings",IF(COUNTIF($A$4:$A$1003,$A683)&gt;1,"⚠ Duplicate ID","✓"))))</f>
      </c>
    </row>
    <row r="684" spans="22:23" x14ac:dyDescent="0.25">
      <c r="V684" s="42">
        <f>IF($B684="","",SUM(L684:Q684)-SUM(R684:U684))</f>
      </c>
      <c r="W684" s="43">
        <f>IF($B684="","",IF(L684="","⚠ Basic salary missing",IF(SUM(R684:U684)&gt;SUM(L684:Q684),"⚠ Deductions exceed earnings",IF(COUNTIF($A$4:$A$1003,$A684)&gt;1,"⚠ Duplicate ID","✓"))))</f>
      </c>
    </row>
    <row r="685" spans="22:23" x14ac:dyDescent="0.25">
      <c r="V685" s="42">
        <f>IF($B685="","",SUM(L685:Q685)-SUM(R685:U685))</f>
      </c>
      <c r="W685" s="43">
        <f>IF($B685="","",IF(L685="","⚠ Basic salary missing",IF(SUM(R685:U685)&gt;SUM(L685:Q685),"⚠ Deductions exceed earnings",IF(COUNTIF($A$4:$A$1003,$A685)&gt;1,"⚠ Duplicate ID","✓"))))</f>
      </c>
    </row>
    <row r="686" spans="22:23" x14ac:dyDescent="0.25">
      <c r="V686" s="42">
        <f>IF($B686="","",SUM(L686:Q686)-SUM(R686:U686))</f>
      </c>
      <c r="W686" s="43">
        <f>IF($B686="","",IF(L686="","⚠ Basic salary missing",IF(SUM(R686:U686)&gt;SUM(L686:Q686),"⚠ Deductions exceed earnings",IF(COUNTIF($A$4:$A$1003,$A686)&gt;1,"⚠ Duplicate ID","✓"))))</f>
      </c>
    </row>
    <row r="687" spans="22:23" x14ac:dyDescent="0.25">
      <c r="V687" s="42">
        <f>IF($B687="","",SUM(L687:Q687)-SUM(R687:U687))</f>
      </c>
      <c r="W687" s="43">
        <f>IF($B687="","",IF(L687="","⚠ Basic salary missing",IF(SUM(R687:U687)&gt;SUM(L687:Q687),"⚠ Deductions exceed earnings",IF(COUNTIF($A$4:$A$1003,$A687)&gt;1,"⚠ Duplicate ID","✓"))))</f>
      </c>
    </row>
    <row r="688" spans="22:23" x14ac:dyDescent="0.25">
      <c r="V688" s="42">
        <f>IF($B688="","",SUM(L688:Q688)-SUM(R688:U688))</f>
      </c>
      <c r="W688" s="43">
        <f>IF($B688="","",IF(L688="","⚠ Basic salary missing",IF(SUM(R688:U688)&gt;SUM(L688:Q688),"⚠ Deductions exceed earnings",IF(COUNTIF($A$4:$A$1003,$A688)&gt;1,"⚠ Duplicate ID","✓"))))</f>
      </c>
    </row>
    <row r="689" spans="22:23" x14ac:dyDescent="0.25">
      <c r="V689" s="42">
        <f>IF($B689="","",SUM(L689:Q689)-SUM(R689:U689))</f>
      </c>
      <c r="W689" s="43">
        <f>IF($B689="","",IF(L689="","⚠ Basic salary missing",IF(SUM(R689:U689)&gt;SUM(L689:Q689),"⚠ Deductions exceed earnings",IF(COUNTIF($A$4:$A$1003,$A689)&gt;1,"⚠ Duplicate ID","✓"))))</f>
      </c>
    </row>
    <row r="690" spans="22:23" x14ac:dyDescent="0.25">
      <c r="V690" s="42">
        <f>IF($B690="","",SUM(L690:Q690)-SUM(R690:U690))</f>
      </c>
      <c r="W690" s="43">
        <f>IF($B690="","",IF(L690="","⚠ Basic salary missing",IF(SUM(R690:U690)&gt;SUM(L690:Q690),"⚠ Deductions exceed earnings",IF(COUNTIF($A$4:$A$1003,$A690)&gt;1,"⚠ Duplicate ID","✓"))))</f>
      </c>
    </row>
    <row r="691" spans="22:23" x14ac:dyDescent="0.25">
      <c r="V691" s="42">
        <f>IF($B691="","",SUM(L691:Q691)-SUM(R691:U691))</f>
      </c>
      <c r="W691" s="43">
        <f>IF($B691="","",IF(L691="","⚠ Basic salary missing",IF(SUM(R691:U691)&gt;SUM(L691:Q691),"⚠ Deductions exceed earnings",IF(COUNTIF($A$4:$A$1003,$A691)&gt;1,"⚠ Duplicate ID","✓"))))</f>
      </c>
    </row>
    <row r="692" spans="22:23" x14ac:dyDescent="0.25">
      <c r="V692" s="42">
        <f>IF($B692="","",SUM(L692:Q692)-SUM(R692:U692))</f>
      </c>
      <c r="W692" s="43">
        <f>IF($B692="","",IF(L692="","⚠ Basic salary missing",IF(SUM(R692:U692)&gt;SUM(L692:Q692),"⚠ Deductions exceed earnings",IF(COUNTIF($A$4:$A$1003,$A692)&gt;1,"⚠ Duplicate ID","✓"))))</f>
      </c>
    </row>
    <row r="693" spans="22:23" x14ac:dyDescent="0.25">
      <c r="V693" s="42">
        <f>IF($B693="","",SUM(L693:Q693)-SUM(R693:U693))</f>
      </c>
      <c r="W693" s="43">
        <f>IF($B693="","",IF(L693="","⚠ Basic salary missing",IF(SUM(R693:U693)&gt;SUM(L693:Q693),"⚠ Deductions exceed earnings",IF(COUNTIF($A$4:$A$1003,$A693)&gt;1,"⚠ Duplicate ID","✓"))))</f>
      </c>
    </row>
    <row r="694" spans="22:23" x14ac:dyDescent="0.25">
      <c r="V694" s="42">
        <f>IF($B694="","",SUM(L694:Q694)-SUM(R694:U694))</f>
      </c>
      <c r="W694" s="43">
        <f>IF($B694="","",IF(L694="","⚠ Basic salary missing",IF(SUM(R694:U694)&gt;SUM(L694:Q694),"⚠ Deductions exceed earnings",IF(COUNTIF($A$4:$A$1003,$A694)&gt;1,"⚠ Duplicate ID","✓"))))</f>
      </c>
    </row>
    <row r="695" spans="22:23" x14ac:dyDescent="0.25">
      <c r="V695" s="42">
        <f>IF($B695="","",SUM(L695:Q695)-SUM(R695:U695))</f>
      </c>
      <c r="W695" s="43">
        <f>IF($B695="","",IF(L695="","⚠ Basic salary missing",IF(SUM(R695:U695)&gt;SUM(L695:Q695),"⚠ Deductions exceed earnings",IF(COUNTIF($A$4:$A$1003,$A695)&gt;1,"⚠ Duplicate ID","✓"))))</f>
      </c>
    </row>
    <row r="696" spans="22:23" x14ac:dyDescent="0.25">
      <c r="V696" s="42">
        <f>IF($B696="","",SUM(L696:Q696)-SUM(R696:U696))</f>
      </c>
      <c r="W696" s="43">
        <f>IF($B696="","",IF(L696="","⚠ Basic salary missing",IF(SUM(R696:U696)&gt;SUM(L696:Q696),"⚠ Deductions exceed earnings",IF(COUNTIF($A$4:$A$1003,$A696)&gt;1,"⚠ Duplicate ID","✓"))))</f>
      </c>
    </row>
    <row r="697" spans="22:23" x14ac:dyDescent="0.25">
      <c r="V697" s="42">
        <f>IF($B697="","",SUM(L697:Q697)-SUM(R697:U697))</f>
      </c>
      <c r="W697" s="43">
        <f>IF($B697="","",IF(L697="","⚠ Basic salary missing",IF(SUM(R697:U697)&gt;SUM(L697:Q697),"⚠ Deductions exceed earnings",IF(COUNTIF($A$4:$A$1003,$A697)&gt;1,"⚠ Duplicate ID","✓"))))</f>
      </c>
    </row>
    <row r="698" spans="22:23" x14ac:dyDescent="0.25">
      <c r="V698" s="42">
        <f>IF($B698="","",SUM(L698:Q698)-SUM(R698:U698))</f>
      </c>
      <c r="W698" s="43">
        <f>IF($B698="","",IF(L698="","⚠ Basic salary missing",IF(SUM(R698:U698)&gt;SUM(L698:Q698),"⚠ Deductions exceed earnings",IF(COUNTIF($A$4:$A$1003,$A698)&gt;1,"⚠ Duplicate ID","✓"))))</f>
      </c>
    </row>
    <row r="699" spans="22:23" x14ac:dyDescent="0.25">
      <c r="V699" s="42">
        <f>IF($B699="","",SUM(L699:Q699)-SUM(R699:U699))</f>
      </c>
      <c r="W699" s="43">
        <f>IF($B699="","",IF(L699="","⚠ Basic salary missing",IF(SUM(R699:U699)&gt;SUM(L699:Q699),"⚠ Deductions exceed earnings",IF(COUNTIF($A$4:$A$1003,$A699)&gt;1,"⚠ Duplicate ID","✓"))))</f>
      </c>
    </row>
    <row r="700" spans="22:23" x14ac:dyDescent="0.25">
      <c r="V700" s="42">
        <f>IF($B700="","",SUM(L700:Q700)-SUM(R700:U700))</f>
      </c>
      <c r="W700" s="43">
        <f>IF($B700="","",IF(L700="","⚠ Basic salary missing",IF(SUM(R700:U700)&gt;SUM(L700:Q700),"⚠ Deductions exceed earnings",IF(COUNTIF($A$4:$A$1003,$A700)&gt;1,"⚠ Duplicate ID","✓"))))</f>
      </c>
    </row>
    <row r="701" spans="22:23" x14ac:dyDescent="0.25">
      <c r="V701" s="42">
        <f>IF($B701="","",SUM(L701:Q701)-SUM(R701:U701))</f>
      </c>
      <c r="W701" s="43">
        <f>IF($B701="","",IF(L701="","⚠ Basic salary missing",IF(SUM(R701:U701)&gt;SUM(L701:Q701),"⚠ Deductions exceed earnings",IF(COUNTIF($A$4:$A$1003,$A701)&gt;1,"⚠ Duplicate ID","✓"))))</f>
      </c>
    </row>
    <row r="702" spans="22:23" x14ac:dyDescent="0.25">
      <c r="V702" s="42">
        <f>IF($B702="","",SUM(L702:Q702)-SUM(R702:U702))</f>
      </c>
      <c r="W702" s="43">
        <f>IF($B702="","",IF(L702="","⚠ Basic salary missing",IF(SUM(R702:U702)&gt;SUM(L702:Q702),"⚠ Deductions exceed earnings",IF(COUNTIF($A$4:$A$1003,$A702)&gt;1,"⚠ Duplicate ID","✓"))))</f>
      </c>
    </row>
    <row r="703" spans="22:23" x14ac:dyDescent="0.25">
      <c r="V703" s="42">
        <f>IF($B703="","",SUM(L703:Q703)-SUM(R703:U703))</f>
      </c>
      <c r="W703" s="43">
        <f>IF($B703="","",IF(L703="","⚠ Basic salary missing",IF(SUM(R703:U703)&gt;SUM(L703:Q703),"⚠ Deductions exceed earnings",IF(COUNTIF($A$4:$A$1003,$A703)&gt;1,"⚠ Duplicate ID","✓"))))</f>
      </c>
    </row>
    <row r="704" spans="22:23" x14ac:dyDescent="0.25">
      <c r="V704" s="42">
        <f>IF($B704="","",SUM(L704:Q704)-SUM(R704:U704))</f>
      </c>
      <c r="W704" s="43">
        <f>IF($B704="","",IF(L704="","⚠ Basic salary missing",IF(SUM(R704:U704)&gt;SUM(L704:Q704),"⚠ Deductions exceed earnings",IF(COUNTIF($A$4:$A$1003,$A704)&gt;1,"⚠ Duplicate ID","✓"))))</f>
      </c>
    </row>
    <row r="705" spans="22:23" x14ac:dyDescent="0.25">
      <c r="V705" s="42">
        <f>IF($B705="","",SUM(L705:Q705)-SUM(R705:U705))</f>
      </c>
      <c r="W705" s="43">
        <f>IF($B705="","",IF(L705="","⚠ Basic salary missing",IF(SUM(R705:U705)&gt;SUM(L705:Q705),"⚠ Deductions exceed earnings",IF(COUNTIF($A$4:$A$1003,$A705)&gt;1,"⚠ Duplicate ID","✓"))))</f>
      </c>
    </row>
    <row r="706" spans="22:23" x14ac:dyDescent="0.25">
      <c r="V706" s="42">
        <f>IF($B706="","",SUM(L706:Q706)-SUM(R706:U706))</f>
      </c>
      <c r="W706" s="43">
        <f>IF($B706="","",IF(L706="","⚠ Basic salary missing",IF(SUM(R706:U706)&gt;SUM(L706:Q706),"⚠ Deductions exceed earnings",IF(COUNTIF($A$4:$A$1003,$A706)&gt;1,"⚠ Duplicate ID","✓"))))</f>
      </c>
    </row>
    <row r="707" spans="22:23" x14ac:dyDescent="0.25">
      <c r="V707" s="42">
        <f>IF($B707="","",SUM(L707:Q707)-SUM(R707:U707))</f>
      </c>
      <c r="W707" s="43">
        <f>IF($B707="","",IF(L707="","⚠ Basic salary missing",IF(SUM(R707:U707)&gt;SUM(L707:Q707),"⚠ Deductions exceed earnings",IF(COUNTIF($A$4:$A$1003,$A707)&gt;1,"⚠ Duplicate ID","✓"))))</f>
      </c>
    </row>
    <row r="708" spans="22:23" x14ac:dyDescent="0.25">
      <c r="V708" s="42">
        <f>IF($B708="","",SUM(L708:Q708)-SUM(R708:U708))</f>
      </c>
      <c r="W708" s="43">
        <f>IF($B708="","",IF(L708="","⚠ Basic salary missing",IF(SUM(R708:U708)&gt;SUM(L708:Q708),"⚠ Deductions exceed earnings",IF(COUNTIF($A$4:$A$1003,$A708)&gt;1,"⚠ Duplicate ID","✓"))))</f>
      </c>
    </row>
    <row r="709" spans="22:23" x14ac:dyDescent="0.25">
      <c r="V709" s="42">
        <f>IF($B709="","",SUM(L709:Q709)-SUM(R709:U709))</f>
      </c>
      <c r="W709" s="43">
        <f>IF($B709="","",IF(L709="","⚠ Basic salary missing",IF(SUM(R709:U709)&gt;SUM(L709:Q709),"⚠ Deductions exceed earnings",IF(COUNTIF($A$4:$A$1003,$A709)&gt;1,"⚠ Duplicate ID","✓"))))</f>
      </c>
    </row>
    <row r="710" spans="22:23" x14ac:dyDescent="0.25">
      <c r="V710" s="42">
        <f>IF($B710="","",SUM(L710:Q710)-SUM(R710:U710))</f>
      </c>
      <c r="W710" s="43">
        <f>IF($B710="","",IF(L710="","⚠ Basic salary missing",IF(SUM(R710:U710)&gt;SUM(L710:Q710),"⚠ Deductions exceed earnings",IF(COUNTIF($A$4:$A$1003,$A710)&gt;1,"⚠ Duplicate ID","✓"))))</f>
      </c>
    </row>
    <row r="711" spans="22:23" x14ac:dyDescent="0.25">
      <c r="V711" s="42">
        <f>IF($B711="","",SUM(L711:Q711)-SUM(R711:U711))</f>
      </c>
      <c r="W711" s="43">
        <f>IF($B711="","",IF(L711="","⚠ Basic salary missing",IF(SUM(R711:U711)&gt;SUM(L711:Q711),"⚠ Deductions exceed earnings",IF(COUNTIF($A$4:$A$1003,$A711)&gt;1,"⚠ Duplicate ID","✓"))))</f>
      </c>
    </row>
    <row r="712" spans="22:23" x14ac:dyDescent="0.25">
      <c r="V712" s="42">
        <f>IF($B712="","",SUM(L712:Q712)-SUM(R712:U712))</f>
      </c>
      <c r="W712" s="43">
        <f>IF($B712="","",IF(L712="","⚠ Basic salary missing",IF(SUM(R712:U712)&gt;SUM(L712:Q712),"⚠ Deductions exceed earnings",IF(COUNTIF($A$4:$A$1003,$A712)&gt;1,"⚠ Duplicate ID","✓"))))</f>
      </c>
    </row>
    <row r="713" spans="22:23" x14ac:dyDescent="0.25">
      <c r="V713" s="42">
        <f>IF($B713="","",SUM(L713:Q713)-SUM(R713:U713))</f>
      </c>
      <c r="W713" s="43">
        <f>IF($B713="","",IF(L713="","⚠ Basic salary missing",IF(SUM(R713:U713)&gt;SUM(L713:Q713),"⚠ Deductions exceed earnings",IF(COUNTIF($A$4:$A$1003,$A713)&gt;1,"⚠ Duplicate ID","✓"))))</f>
      </c>
    </row>
    <row r="714" spans="22:23" x14ac:dyDescent="0.25">
      <c r="V714" s="42">
        <f>IF($B714="","",SUM(L714:Q714)-SUM(R714:U714))</f>
      </c>
      <c r="W714" s="43">
        <f>IF($B714="","",IF(L714="","⚠ Basic salary missing",IF(SUM(R714:U714)&gt;SUM(L714:Q714),"⚠ Deductions exceed earnings",IF(COUNTIF($A$4:$A$1003,$A714)&gt;1,"⚠ Duplicate ID","✓"))))</f>
      </c>
    </row>
    <row r="715" spans="22:23" x14ac:dyDescent="0.25">
      <c r="V715" s="42">
        <f>IF($B715="","",SUM(L715:Q715)-SUM(R715:U715))</f>
      </c>
      <c r="W715" s="43">
        <f>IF($B715="","",IF(L715="","⚠ Basic salary missing",IF(SUM(R715:U715)&gt;SUM(L715:Q715),"⚠ Deductions exceed earnings",IF(COUNTIF($A$4:$A$1003,$A715)&gt;1,"⚠ Duplicate ID","✓"))))</f>
      </c>
    </row>
    <row r="716" spans="22:23" x14ac:dyDescent="0.25">
      <c r="V716" s="42">
        <f>IF($B716="","",SUM(L716:Q716)-SUM(R716:U716))</f>
      </c>
      <c r="W716" s="43">
        <f>IF($B716="","",IF(L716="","⚠ Basic salary missing",IF(SUM(R716:U716)&gt;SUM(L716:Q716),"⚠ Deductions exceed earnings",IF(COUNTIF($A$4:$A$1003,$A716)&gt;1,"⚠ Duplicate ID","✓"))))</f>
      </c>
    </row>
    <row r="717" spans="22:23" x14ac:dyDescent="0.25">
      <c r="V717" s="42">
        <f>IF($B717="","",SUM(L717:Q717)-SUM(R717:U717))</f>
      </c>
      <c r="W717" s="43">
        <f>IF($B717="","",IF(L717="","⚠ Basic salary missing",IF(SUM(R717:U717)&gt;SUM(L717:Q717),"⚠ Deductions exceed earnings",IF(COUNTIF($A$4:$A$1003,$A717)&gt;1,"⚠ Duplicate ID","✓"))))</f>
      </c>
    </row>
    <row r="718" spans="22:23" x14ac:dyDescent="0.25">
      <c r="V718" s="42">
        <f>IF($B718="","",SUM(L718:Q718)-SUM(R718:U718))</f>
      </c>
      <c r="W718" s="43">
        <f>IF($B718="","",IF(L718="","⚠ Basic salary missing",IF(SUM(R718:U718)&gt;SUM(L718:Q718),"⚠ Deductions exceed earnings",IF(COUNTIF($A$4:$A$1003,$A718)&gt;1,"⚠ Duplicate ID","✓"))))</f>
      </c>
    </row>
    <row r="719" spans="22:23" x14ac:dyDescent="0.25">
      <c r="V719" s="42">
        <f>IF($B719="","",SUM(L719:Q719)-SUM(R719:U719))</f>
      </c>
      <c r="W719" s="43">
        <f>IF($B719="","",IF(L719="","⚠ Basic salary missing",IF(SUM(R719:U719)&gt;SUM(L719:Q719),"⚠ Deductions exceed earnings",IF(COUNTIF($A$4:$A$1003,$A719)&gt;1,"⚠ Duplicate ID","✓"))))</f>
      </c>
    </row>
    <row r="720" spans="22:23" x14ac:dyDescent="0.25">
      <c r="V720" s="42">
        <f>IF($B720="","",SUM(L720:Q720)-SUM(R720:U720))</f>
      </c>
      <c r="W720" s="43">
        <f>IF($B720="","",IF(L720="","⚠ Basic salary missing",IF(SUM(R720:U720)&gt;SUM(L720:Q720),"⚠ Deductions exceed earnings",IF(COUNTIF($A$4:$A$1003,$A720)&gt;1,"⚠ Duplicate ID","✓"))))</f>
      </c>
    </row>
    <row r="721" spans="22:23" x14ac:dyDescent="0.25">
      <c r="V721" s="42">
        <f>IF($B721="","",SUM(L721:Q721)-SUM(R721:U721))</f>
      </c>
      <c r="W721" s="43">
        <f>IF($B721="","",IF(L721="","⚠ Basic salary missing",IF(SUM(R721:U721)&gt;SUM(L721:Q721),"⚠ Deductions exceed earnings",IF(COUNTIF($A$4:$A$1003,$A721)&gt;1,"⚠ Duplicate ID","✓"))))</f>
      </c>
    </row>
    <row r="722" spans="22:23" x14ac:dyDescent="0.25">
      <c r="V722" s="42">
        <f>IF($B722="","",SUM(L722:Q722)-SUM(R722:U722))</f>
      </c>
      <c r="W722" s="43">
        <f>IF($B722="","",IF(L722="","⚠ Basic salary missing",IF(SUM(R722:U722)&gt;SUM(L722:Q722),"⚠ Deductions exceed earnings",IF(COUNTIF($A$4:$A$1003,$A722)&gt;1,"⚠ Duplicate ID","✓"))))</f>
      </c>
    </row>
    <row r="723" spans="22:23" x14ac:dyDescent="0.25">
      <c r="V723" s="42">
        <f>IF($B723="","",SUM(L723:Q723)-SUM(R723:U723))</f>
      </c>
      <c r="W723" s="43">
        <f>IF($B723="","",IF(L723="","⚠ Basic salary missing",IF(SUM(R723:U723)&gt;SUM(L723:Q723),"⚠ Deductions exceed earnings",IF(COUNTIF($A$4:$A$1003,$A723)&gt;1,"⚠ Duplicate ID","✓"))))</f>
      </c>
    </row>
    <row r="724" spans="22:23" x14ac:dyDescent="0.25">
      <c r="V724" s="42">
        <f>IF($B724="","",SUM(L724:Q724)-SUM(R724:U724))</f>
      </c>
      <c r="W724" s="43">
        <f>IF($B724="","",IF(L724="","⚠ Basic salary missing",IF(SUM(R724:U724)&gt;SUM(L724:Q724),"⚠ Deductions exceed earnings",IF(COUNTIF($A$4:$A$1003,$A724)&gt;1,"⚠ Duplicate ID","✓"))))</f>
      </c>
    </row>
    <row r="725" spans="22:23" x14ac:dyDescent="0.25">
      <c r="V725" s="42">
        <f>IF($B725="","",SUM(L725:Q725)-SUM(R725:U725))</f>
      </c>
      <c r="W725" s="43">
        <f>IF($B725="","",IF(L725="","⚠ Basic salary missing",IF(SUM(R725:U725)&gt;SUM(L725:Q725),"⚠ Deductions exceed earnings",IF(COUNTIF($A$4:$A$1003,$A725)&gt;1,"⚠ Duplicate ID","✓"))))</f>
      </c>
    </row>
    <row r="726" spans="22:23" x14ac:dyDescent="0.25">
      <c r="V726" s="42">
        <f>IF($B726="","",SUM(L726:Q726)-SUM(R726:U726))</f>
      </c>
      <c r="W726" s="43">
        <f>IF($B726="","",IF(L726="","⚠ Basic salary missing",IF(SUM(R726:U726)&gt;SUM(L726:Q726),"⚠ Deductions exceed earnings",IF(COUNTIF($A$4:$A$1003,$A726)&gt;1,"⚠ Duplicate ID","✓"))))</f>
      </c>
    </row>
    <row r="727" spans="22:23" x14ac:dyDescent="0.25">
      <c r="V727" s="42">
        <f>IF($B727="","",SUM(L727:Q727)-SUM(R727:U727))</f>
      </c>
      <c r="W727" s="43">
        <f>IF($B727="","",IF(L727="","⚠ Basic salary missing",IF(SUM(R727:U727)&gt;SUM(L727:Q727),"⚠ Deductions exceed earnings",IF(COUNTIF($A$4:$A$1003,$A727)&gt;1,"⚠ Duplicate ID","✓"))))</f>
      </c>
    </row>
    <row r="728" spans="22:23" x14ac:dyDescent="0.25">
      <c r="V728" s="42">
        <f>IF($B728="","",SUM(L728:Q728)-SUM(R728:U728))</f>
      </c>
      <c r="W728" s="43">
        <f>IF($B728="","",IF(L728="","⚠ Basic salary missing",IF(SUM(R728:U728)&gt;SUM(L728:Q728),"⚠ Deductions exceed earnings",IF(COUNTIF($A$4:$A$1003,$A728)&gt;1,"⚠ Duplicate ID","✓"))))</f>
      </c>
    </row>
    <row r="729" spans="22:23" x14ac:dyDescent="0.25">
      <c r="V729" s="42">
        <f>IF($B729="","",SUM(L729:Q729)-SUM(R729:U729))</f>
      </c>
      <c r="W729" s="43">
        <f>IF($B729="","",IF(L729="","⚠ Basic salary missing",IF(SUM(R729:U729)&gt;SUM(L729:Q729),"⚠ Deductions exceed earnings",IF(COUNTIF($A$4:$A$1003,$A729)&gt;1,"⚠ Duplicate ID","✓"))))</f>
      </c>
    </row>
    <row r="730" spans="22:23" x14ac:dyDescent="0.25">
      <c r="V730" s="42">
        <f>IF($B730="","",SUM(L730:Q730)-SUM(R730:U730))</f>
      </c>
      <c r="W730" s="43">
        <f>IF($B730="","",IF(L730="","⚠ Basic salary missing",IF(SUM(R730:U730)&gt;SUM(L730:Q730),"⚠ Deductions exceed earnings",IF(COUNTIF($A$4:$A$1003,$A730)&gt;1,"⚠ Duplicate ID","✓"))))</f>
      </c>
    </row>
    <row r="731" spans="22:23" x14ac:dyDescent="0.25">
      <c r="V731" s="42">
        <f>IF($B731="","",SUM(L731:Q731)-SUM(R731:U731))</f>
      </c>
      <c r="W731" s="43">
        <f>IF($B731="","",IF(L731="","⚠ Basic salary missing",IF(SUM(R731:U731)&gt;SUM(L731:Q731),"⚠ Deductions exceed earnings",IF(COUNTIF($A$4:$A$1003,$A731)&gt;1,"⚠ Duplicate ID","✓"))))</f>
      </c>
    </row>
    <row r="732" spans="22:23" x14ac:dyDescent="0.25">
      <c r="V732" s="42">
        <f>IF($B732="","",SUM(L732:Q732)-SUM(R732:U732))</f>
      </c>
      <c r="W732" s="43">
        <f>IF($B732="","",IF(L732="","⚠ Basic salary missing",IF(SUM(R732:U732)&gt;SUM(L732:Q732),"⚠ Deductions exceed earnings",IF(COUNTIF($A$4:$A$1003,$A732)&gt;1,"⚠ Duplicate ID","✓"))))</f>
      </c>
    </row>
    <row r="733" spans="22:23" x14ac:dyDescent="0.25">
      <c r="V733" s="42">
        <f>IF($B733="","",SUM(L733:Q733)-SUM(R733:U733))</f>
      </c>
      <c r="W733" s="43">
        <f>IF($B733="","",IF(L733="","⚠ Basic salary missing",IF(SUM(R733:U733)&gt;SUM(L733:Q733),"⚠ Deductions exceed earnings",IF(COUNTIF($A$4:$A$1003,$A733)&gt;1,"⚠ Duplicate ID","✓"))))</f>
      </c>
    </row>
    <row r="734" spans="22:23" x14ac:dyDescent="0.25">
      <c r="V734" s="42">
        <f>IF($B734="","",SUM(L734:Q734)-SUM(R734:U734))</f>
      </c>
      <c r="W734" s="43">
        <f>IF($B734="","",IF(L734="","⚠ Basic salary missing",IF(SUM(R734:U734)&gt;SUM(L734:Q734),"⚠ Deductions exceed earnings",IF(COUNTIF($A$4:$A$1003,$A734)&gt;1,"⚠ Duplicate ID","✓"))))</f>
      </c>
    </row>
    <row r="735" spans="22:23" x14ac:dyDescent="0.25">
      <c r="V735" s="42">
        <f>IF($B735="","",SUM(L735:Q735)-SUM(R735:U735))</f>
      </c>
      <c r="W735" s="43">
        <f>IF($B735="","",IF(L735="","⚠ Basic salary missing",IF(SUM(R735:U735)&gt;SUM(L735:Q735),"⚠ Deductions exceed earnings",IF(COUNTIF($A$4:$A$1003,$A735)&gt;1,"⚠ Duplicate ID","✓"))))</f>
      </c>
    </row>
    <row r="736" spans="22:23" x14ac:dyDescent="0.25">
      <c r="V736" s="42">
        <f>IF($B736="","",SUM(L736:Q736)-SUM(R736:U736))</f>
      </c>
      <c r="W736" s="43">
        <f>IF($B736="","",IF(L736="","⚠ Basic salary missing",IF(SUM(R736:U736)&gt;SUM(L736:Q736),"⚠ Deductions exceed earnings",IF(COUNTIF($A$4:$A$1003,$A736)&gt;1,"⚠ Duplicate ID","✓"))))</f>
      </c>
    </row>
    <row r="737" spans="22:23" x14ac:dyDescent="0.25">
      <c r="V737" s="42">
        <f>IF($B737="","",SUM(L737:Q737)-SUM(R737:U737))</f>
      </c>
      <c r="W737" s="43">
        <f>IF($B737="","",IF(L737="","⚠ Basic salary missing",IF(SUM(R737:U737)&gt;SUM(L737:Q737),"⚠ Deductions exceed earnings",IF(COUNTIF($A$4:$A$1003,$A737)&gt;1,"⚠ Duplicate ID","✓"))))</f>
      </c>
    </row>
    <row r="738" spans="22:23" x14ac:dyDescent="0.25">
      <c r="V738" s="42">
        <f>IF($B738="","",SUM(L738:Q738)-SUM(R738:U738))</f>
      </c>
      <c r="W738" s="43">
        <f>IF($B738="","",IF(L738="","⚠ Basic salary missing",IF(SUM(R738:U738)&gt;SUM(L738:Q738),"⚠ Deductions exceed earnings",IF(COUNTIF($A$4:$A$1003,$A738)&gt;1,"⚠ Duplicate ID","✓"))))</f>
      </c>
    </row>
    <row r="739" spans="22:23" x14ac:dyDescent="0.25">
      <c r="V739" s="42">
        <f>IF($B739="","",SUM(L739:Q739)-SUM(R739:U739))</f>
      </c>
      <c r="W739" s="43">
        <f>IF($B739="","",IF(L739="","⚠ Basic salary missing",IF(SUM(R739:U739)&gt;SUM(L739:Q739),"⚠ Deductions exceed earnings",IF(COUNTIF($A$4:$A$1003,$A739)&gt;1,"⚠ Duplicate ID","✓"))))</f>
      </c>
    </row>
    <row r="740" spans="22:23" x14ac:dyDescent="0.25">
      <c r="V740" s="42">
        <f>IF($B740="","",SUM(L740:Q740)-SUM(R740:U740))</f>
      </c>
      <c r="W740" s="43">
        <f>IF($B740="","",IF(L740="","⚠ Basic salary missing",IF(SUM(R740:U740)&gt;SUM(L740:Q740),"⚠ Deductions exceed earnings",IF(COUNTIF($A$4:$A$1003,$A740)&gt;1,"⚠ Duplicate ID","✓"))))</f>
      </c>
    </row>
    <row r="741" spans="22:23" x14ac:dyDescent="0.25">
      <c r="V741" s="42">
        <f>IF($B741="","",SUM(L741:Q741)-SUM(R741:U741))</f>
      </c>
      <c r="W741" s="43">
        <f>IF($B741="","",IF(L741="","⚠ Basic salary missing",IF(SUM(R741:U741)&gt;SUM(L741:Q741),"⚠ Deductions exceed earnings",IF(COUNTIF($A$4:$A$1003,$A741)&gt;1,"⚠ Duplicate ID","✓"))))</f>
      </c>
    </row>
    <row r="742" spans="22:23" x14ac:dyDescent="0.25">
      <c r="V742" s="42">
        <f>IF($B742="","",SUM(L742:Q742)-SUM(R742:U742))</f>
      </c>
      <c r="W742" s="43">
        <f>IF($B742="","",IF(L742="","⚠ Basic salary missing",IF(SUM(R742:U742)&gt;SUM(L742:Q742),"⚠ Deductions exceed earnings",IF(COUNTIF($A$4:$A$1003,$A742)&gt;1,"⚠ Duplicate ID","✓"))))</f>
      </c>
    </row>
    <row r="743" spans="22:23" x14ac:dyDescent="0.25">
      <c r="V743" s="42">
        <f>IF($B743="","",SUM(L743:Q743)-SUM(R743:U743))</f>
      </c>
      <c r="W743" s="43">
        <f>IF($B743="","",IF(L743="","⚠ Basic salary missing",IF(SUM(R743:U743)&gt;SUM(L743:Q743),"⚠ Deductions exceed earnings",IF(COUNTIF($A$4:$A$1003,$A743)&gt;1,"⚠ Duplicate ID","✓"))))</f>
      </c>
    </row>
    <row r="744" spans="22:23" x14ac:dyDescent="0.25">
      <c r="V744" s="42">
        <f>IF($B744="","",SUM(L744:Q744)-SUM(R744:U744))</f>
      </c>
      <c r="W744" s="43">
        <f>IF($B744="","",IF(L744="","⚠ Basic salary missing",IF(SUM(R744:U744)&gt;SUM(L744:Q744),"⚠ Deductions exceed earnings",IF(COUNTIF($A$4:$A$1003,$A744)&gt;1,"⚠ Duplicate ID","✓"))))</f>
      </c>
    </row>
    <row r="745" spans="22:23" x14ac:dyDescent="0.25">
      <c r="V745" s="42">
        <f>IF($B745="","",SUM(L745:Q745)-SUM(R745:U745))</f>
      </c>
      <c r="W745" s="43">
        <f>IF($B745="","",IF(L745="","⚠ Basic salary missing",IF(SUM(R745:U745)&gt;SUM(L745:Q745),"⚠ Deductions exceed earnings",IF(COUNTIF($A$4:$A$1003,$A745)&gt;1,"⚠ Duplicate ID","✓"))))</f>
      </c>
    </row>
    <row r="746" spans="22:23" x14ac:dyDescent="0.25">
      <c r="V746" s="42">
        <f>IF($B746="","",SUM(L746:Q746)-SUM(R746:U746))</f>
      </c>
      <c r="W746" s="43">
        <f>IF($B746="","",IF(L746="","⚠ Basic salary missing",IF(SUM(R746:U746)&gt;SUM(L746:Q746),"⚠ Deductions exceed earnings",IF(COUNTIF($A$4:$A$1003,$A746)&gt;1,"⚠ Duplicate ID","✓"))))</f>
      </c>
    </row>
    <row r="747" spans="22:23" x14ac:dyDescent="0.25">
      <c r="V747" s="42">
        <f>IF($B747="","",SUM(L747:Q747)-SUM(R747:U747))</f>
      </c>
      <c r="W747" s="43">
        <f>IF($B747="","",IF(L747="","⚠ Basic salary missing",IF(SUM(R747:U747)&gt;SUM(L747:Q747),"⚠ Deductions exceed earnings",IF(COUNTIF($A$4:$A$1003,$A747)&gt;1,"⚠ Duplicate ID","✓"))))</f>
      </c>
    </row>
    <row r="748" spans="22:23" x14ac:dyDescent="0.25">
      <c r="V748" s="42">
        <f>IF($B748="","",SUM(L748:Q748)-SUM(R748:U748))</f>
      </c>
      <c r="W748" s="43">
        <f>IF($B748="","",IF(L748="","⚠ Basic salary missing",IF(SUM(R748:U748)&gt;SUM(L748:Q748),"⚠ Deductions exceed earnings",IF(COUNTIF($A$4:$A$1003,$A748)&gt;1,"⚠ Duplicate ID","✓"))))</f>
      </c>
    </row>
    <row r="749" spans="22:23" x14ac:dyDescent="0.25">
      <c r="V749" s="42">
        <f>IF($B749="","",SUM(L749:Q749)-SUM(R749:U749))</f>
      </c>
      <c r="W749" s="43">
        <f>IF($B749="","",IF(L749="","⚠ Basic salary missing",IF(SUM(R749:U749)&gt;SUM(L749:Q749),"⚠ Deductions exceed earnings",IF(COUNTIF($A$4:$A$1003,$A749)&gt;1,"⚠ Duplicate ID","✓"))))</f>
      </c>
    </row>
    <row r="750" spans="22:23" x14ac:dyDescent="0.25">
      <c r="V750" s="42">
        <f>IF($B750="","",SUM(L750:Q750)-SUM(R750:U750))</f>
      </c>
      <c r="W750" s="43">
        <f>IF($B750="","",IF(L750="","⚠ Basic salary missing",IF(SUM(R750:U750)&gt;SUM(L750:Q750),"⚠ Deductions exceed earnings",IF(COUNTIF($A$4:$A$1003,$A750)&gt;1,"⚠ Duplicate ID","✓"))))</f>
      </c>
    </row>
    <row r="751" spans="22:23" x14ac:dyDescent="0.25">
      <c r="V751" s="42">
        <f>IF($B751="","",SUM(L751:Q751)-SUM(R751:U751))</f>
      </c>
      <c r="W751" s="43">
        <f>IF($B751="","",IF(L751="","⚠ Basic salary missing",IF(SUM(R751:U751)&gt;SUM(L751:Q751),"⚠ Deductions exceed earnings",IF(COUNTIF($A$4:$A$1003,$A751)&gt;1,"⚠ Duplicate ID","✓"))))</f>
      </c>
    </row>
    <row r="752" spans="22:23" x14ac:dyDescent="0.25">
      <c r="V752" s="42">
        <f>IF($B752="","",SUM(L752:Q752)-SUM(R752:U752))</f>
      </c>
      <c r="W752" s="43">
        <f>IF($B752="","",IF(L752="","⚠ Basic salary missing",IF(SUM(R752:U752)&gt;SUM(L752:Q752),"⚠ Deductions exceed earnings",IF(COUNTIF($A$4:$A$1003,$A752)&gt;1,"⚠ Duplicate ID","✓"))))</f>
      </c>
    </row>
    <row r="753" spans="22:23" x14ac:dyDescent="0.25">
      <c r="V753" s="42">
        <f>IF($B753="","",SUM(L753:Q753)-SUM(R753:U753))</f>
      </c>
      <c r="W753" s="43">
        <f>IF($B753="","",IF(L753="","⚠ Basic salary missing",IF(SUM(R753:U753)&gt;SUM(L753:Q753),"⚠ Deductions exceed earnings",IF(COUNTIF($A$4:$A$1003,$A753)&gt;1,"⚠ Duplicate ID","✓"))))</f>
      </c>
    </row>
    <row r="754" spans="22:23" x14ac:dyDescent="0.25">
      <c r="V754" s="42">
        <f>IF($B754="","",SUM(L754:Q754)-SUM(R754:U754))</f>
      </c>
      <c r="W754" s="43">
        <f>IF($B754="","",IF(L754="","⚠ Basic salary missing",IF(SUM(R754:U754)&gt;SUM(L754:Q754),"⚠ Deductions exceed earnings",IF(COUNTIF($A$4:$A$1003,$A754)&gt;1,"⚠ Duplicate ID","✓"))))</f>
      </c>
    </row>
    <row r="755" spans="22:23" x14ac:dyDescent="0.25">
      <c r="V755" s="42">
        <f>IF($B755="","",SUM(L755:Q755)-SUM(R755:U755))</f>
      </c>
      <c r="W755" s="43">
        <f>IF($B755="","",IF(L755="","⚠ Basic salary missing",IF(SUM(R755:U755)&gt;SUM(L755:Q755),"⚠ Deductions exceed earnings",IF(COUNTIF($A$4:$A$1003,$A755)&gt;1,"⚠ Duplicate ID","✓"))))</f>
      </c>
    </row>
    <row r="756" spans="22:23" x14ac:dyDescent="0.25">
      <c r="V756" s="42">
        <f>IF($B756="","",SUM(L756:Q756)-SUM(R756:U756))</f>
      </c>
      <c r="W756" s="43">
        <f>IF($B756="","",IF(L756="","⚠ Basic salary missing",IF(SUM(R756:U756)&gt;SUM(L756:Q756),"⚠ Deductions exceed earnings",IF(COUNTIF($A$4:$A$1003,$A756)&gt;1,"⚠ Duplicate ID","✓"))))</f>
      </c>
    </row>
    <row r="757" spans="22:23" x14ac:dyDescent="0.25">
      <c r="V757" s="42">
        <f>IF($B757="","",SUM(L757:Q757)-SUM(R757:U757))</f>
      </c>
      <c r="W757" s="43">
        <f>IF($B757="","",IF(L757="","⚠ Basic salary missing",IF(SUM(R757:U757)&gt;SUM(L757:Q757),"⚠ Deductions exceed earnings",IF(COUNTIF($A$4:$A$1003,$A757)&gt;1,"⚠ Duplicate ID","✓"))))</f>
      </c>
    </row>
    <row r="758" spans="22:23" x14ac:dyDescent="0.25">
      <c r="V758" s="42">
        <f>IF($B758="","",SUM(L758:Q758)-SUM(R758:U758))</f>
      </c>
      <c r="W758" s="43">
        <f>IF($B758="","",IF(L758="","⚠ Basic salary missing",IF(SUM(R758:U758)&gt;SUM(L758:Q758),"⚠ Deductions exceed earnings",IF(COUNTIF($A$4:$A$1003,$A758)&gt;1,"⚠ Duplicate ID","✓"))))</f>
      </c>
    </row>
    <row r="759" spans="22:23" x14ac:dyDescent="0.25">
      <c r="V759" s="42">
        <f>IF($B759="","",SUM(L759:Q759)-SUM(R759:U759))</f>
      </c>
      <c r="W759" s="43">
        <f>IF($B759="","",IF(L759="","⚠ Basic salary missing",IF(SUM(R759:U759)&gt;SUM(L759:Q759),"⚠ Deductions exceed earnings",IF(COUNTIF($A$4:$A$1003,$A759)&gt;1,"⚠ Duplicate ID","✓"))))</f>
      </c>
    </row>
    <row r="760" spans="22:23" x14ac:dyDescent="0.25">
      <c r="V760" s="42">
        <f>IF($B760="","",SUM(L760:Q760)-SUM(R760:U760))</f>
      </c>
      <c r="W760" s="43">
        <f>IF($B760="","",IF(L760="","⚠ Basic salary missing",IF(SUM(R760:U760)&gt;SUM(L760:Q760),"⚠ Deductions exceed earnings",IF(COUNTIF($A$4:$A$1003,$A760)&gt;1,"⚠ Duplicate ID","✓"))))</f>
      </c>
    </row>
    <row r="761" spans="22:23" x14ac:dyDescent="0.25">
      <c r="V761" s="42">
        <f>IF($B761="","",SUM(L761:Q761)-SUM(R761:U761))</f>
      </c>
      <c r="W761" s="43">
        <f>IF($B761="","",IF(L761="","⚠ Basic salary missing",IF(SUM(R761:U761)&gt;SUM(L761:Q761),"⚠ Deductions exceed earnings",IF(COUNTIF($A$4:$A$1003,$A761)&gt;1,"⚠ Duplicate ID","✓"))))</f>
      </c>
    </row>
    <row r="762" spans="22:23" x14ac:dyDescent="0.25">
      <c r="V762" s="42">
        <f>IF($B762="","",SUM(L762:Q762)-SUM(R762:U762))</f>
      </c>
      <c r="W762" s="43">
        <f>IF($B762="","",IF(L762="","⚠ Basic salary missing",IF(SUM(R762:U762)&gt;SUM(L762:Q762),"⚠ Deductions exceed earnings",IF(COUNTIF($A$4:$A$1003,$A762)&gt;1,"⚠ Duplicate ID","✓"))))</f>
      </c>
    </row>
    <row r="763" spans="22:23" x14ac:dyDescent="0.25">
      <c r="V763" s="42">
        <f>IF($B763="","",SUM(L763:Q763)-SUM(R763:U763))</f>
      </c>
      <c r="W763" s="43">
        <f>IF($B763="","",IF(L763="","⚠ Basic salary missing",IF(SUM(R763:U763)&gt;SUM(L763:Q763),"⚠ Deductions exceed earnings",IF(COUNTIF($A$4:$A$1003,$A763)&gt;1,"⚠ Duplicate ID","✓"))))</f>
      </c>
    </row>
    <row r="764" spans="22:23" x14ac:dyDescent="0.25">
      <c r="V764" s="42">
        <f>IF($B764="","",SUM(L764:Q764)-SUM(R764:U764))</f>
      </c>
      <c r="W764" s="43">
        <f>IF($B764="","",IF(L764="","⚠ Basic salary missing",IF(SUM(R764:U764)&gt;SUM(L764:Q764),"⚠ Deductions exceed earnings",IF(COUNTIF($A$4:$A$1003,$A764)&gt;1,"⚠ Duplicate ID","✓"))))</f>
      </c>
    </row>
    <row r="765" spans="22:23" x14ac:dyDescent="0.25">
      <c r="V765" s="42">
        <f>IF($B765="","",SUM(L765:Q765)-SUM(R765:U765))</f>
      </c>
      <c r="W765" s="43">
        <f>IF($B765="","",IF(L765="","⚠ Basic salary missing",IF(SUM(R765:U765)&gt;SUM(L765:Q765),"⚠ Deductions exceed earnings",IF(COUNTIF($A$4:$A$1003,$A765)&gt;1,"⚠ Duplicate ID","✓"))))</f>
      </c>
    </row>
    <row r="766" spans="22:23" x14ac:dyDescent="0.25">
      <c r="V766" s="42">
        <f>IF($B766="","",SUM(L766:Q766)-SUM(R766:U766))</f>
      </c>
      <c r="W766" s="43">
        <f>IF($B766="","",IF(L766="","⚠ Basic salary missing",IF(SUM(R766:U766)&gt;SUM(L766:Q766),"⚠ Deductions exceed earnings",IF(COUNTIF($A$4:$A$1003,$A766)&gt;1,"⚠ Duplicate ID","✓"))))</f>
      </c>
    </row>
    <row r="767" spans="22:23" x14ac:dyDescent="0.25">
      <c r="V767" s="42">
        <f>IF($B767="","",SUM(L767:Q767)-SUM(R767:U767))</f>
      </c>
      <c r="W767" s="43">
        <f>IF($B767="","",IF(L767="","⚠ Basic salary missing",IF(SUM(R767:U767)&gt;SUM(L767:Q767),"⚠ Deductions exceed earnings",IF(COUNTIF($A$4:$A$1003,$A767)&gt;1,"⚠ Duplicate ID","✓"))))</f>
      </c>
    </row>
    <row r="768" spans="22:23" x14ac:dyDescent="0.25">
      <c r="V768" s="42">
        <f>IF($B768="","",SUM(L768:Q768)-SUM(R768:U768))</f>
      </c>
      <c r="W768" s="43">
        <f>IF($B768="","",IF(L768="","⚠ Basic salary missing",IF(SUM(R768:U768)&gt;SUM(L768:Q768),"⚠ Deductions exceed earnings",IF(COUNTIF($A$4:$A$1003,$A768)&gt;1,"⚠ Duplicate ID","✓"))))</f>
      </c>
    </row>
    <row r="769" spans="22:23" x14ac:dyDescent="0.25">
      <c r="V769" s="42">
        <f>IF($B769="","",SUM(L769:Q769)-SUM(R769:U769))</f>
      </c>
      <c r="W769" s="43">
        <f>IF($B769="","",IF(L769="","⚠ Basic salary missing",IF(SUM(R769:U769)&gt;SUM(L769:Q769),"⚠ Deductions exceed earnings",IF(COUNTIF($A$4:$A$1003,$A769)&gt;1,"⚠ Duplicate ID","✓"))))</f>
      </c>
    </row>
    <row r="770" spans="22:23" x14ac:dyDescent="0.25">
      <c r="V770" s="42">
        <f>IF($B770="","",SUM(L770:Q770)-SUM(R770:U770))</f>
      </c>
      <c r="W770" s="43">
        <f>IF($B770="","",IF(L770="","⚠ Basic salary missing",IF(SUM(R770:U770)&gt;SUM(L770:Q770),"⚠ Deductions exceed earnings",IF(COUNTIF($A$4:$A$1003,$A770)&gt;1,"⚠ Duplicate ID","✓"))))</f>
      </c>
    </row>
    <row r="771" spans="22:23" x14ac:dyDescent="0.25">
      <c r="V771" s="42">
        <f>IF($B771="","",SUM(L771:Q771)-SUM(R771:U771))</f>
      </c>
      <c r="W771" s="43">
        <f>IF($B771="","",IF(L771="","⚠ Basic salary missing",IF(SUM(R771:U771)&gt;SUM(L771:Q771),"⚠ Deductions exceed earnings",IF(COUNTIF($A$4:$A$1003,$A771)&gt;1,"⚠ Duplicate ID","✓"))))</f>
      </c>
    </row>
    <row r="772" spans="22:23" x14ac:dyDescent="0.25">
      <c r="V772" s="42">
        <f>IF($B772="","",SUM(L772:Q772)-SUM(R772:U772))</f>
      </c>
      <c r="W772" s="43">
        <f>IF($B772="","",IF(L772="","⚠ Basic salary missing",IF(SUM(R772:U772)&gt;SUM(L772:Q772),"⚠ Deductions exceed earnings",IF(COUNTIF($A$4:$A$1003,$A772)&gt;1,"⚠ Duplicate ID","✓"))))</f>
      </c>
    </row>
    <row r="773" spans="22:23" x14ac:dyDescent="0.25">
      <c r="V773" s="42">
        <f>IF($B773="","",SUM(L773:Q773)-SUM(R773:U773))</f>
      </c>
      <c r="W773" s="43">
        <f>IF($B773="","",IF(L773="","⚠ Basic salary missing",IF(SUM(R773:U773)&gt;SUM(L773:Q773),"⚠ Deductions exceed earnings",IF(COUNTIF($A$4:$A$1003,$A773)&gt;1,"⚠ Duplicate ID","✓"))))</f>
      </c>
    </row>
    <row r="774" spans="22:23" x14ac:dyDescent="0.25">
      <c r="V774" s="42">
        <f>IF($B774="","",SUM(L774:Q774)-SUM(R774:U774))</f>
      </c>
      <c r="W774" s="43">
        <f>IF($B774="","",IF(L774="","⚠ Basic salary missing",IF(SUM(R774:U774)&gt;SUM(L774:Q774),"⚠ Deductions exceed earnings",IF(COUNTIF($A$4:$A$1003,$A774)&gt;1,"⚠ Duplicate ID","✓"))))</f>
      </c>
    </row>
    <row r="775" spans="22:23" x14ac:dyDescent="0.25">
      <c r="V775" s="42">
        <f>IF($B775="","",SUM(L775:Q775)-SUM(R775:U775))</f>
      </c>
      <c r="W775" s="43">
        <f>IF($B775="","",IF(L775="","⚠ Basic salary missing",IF(SUM(R775:U775)&gt;SUM(L775:Q775),"⚠ Deductions exceed earnings",IF(COUNTIF($A$4:$A$1003,$A775)&gt;1,"⚠ Duplicate ID","✓"))))</f>
      </c>
    </row>
    <row r="776" spans="22:23" x14ac:dyDescent="0.25">
      <c r="V776" s="42">
        <f>IF($B776="","",SUM(L776:Q776)-SUM(R776:U776))</f>
      </c>
      <c r="W776" s="43">
        <f>IF($B776="","",IF(L776="","⚠ Basic salary missing",IF(SUM(R776:U776)&gt;SUM(L776:Q776),"⚠ Deductions exceed earnings",IF(COUNTIF($A$4:$A$1003,$A776)&gt;1,"⚠ Duplicate ID","✓"))))</f>
      </c>
    </row>
    <row r="777" spans="22:23" x14ac:dyDescent="0.25">
      <c r="V777" s="42">
        <f>IF($B777="","",SUM(L777:Q777)-SUM(R777:U777))</f>
      </c>
      <c r="W777" s="43">
        <f>IF($B777="","",IF(L777="","⚠ Basic salary missing",IF(SUM(R777:U777)&gt;SUM(L777:Q777),"⚠ Deductions exceed earnings",IF(COUNTIF($A$4:$A$1003,$A777)&gt;1,"⚠ Duplicate ID","✓"))))</f>
      </c>
    </row>
    <row r="778" spans="22:23" x14ac:dyDescent="0.25">
      <c r="V778" s="42">
        <f>IF($B778="","",SUM(L778:Q778)-SUM(R778:U778))</f>
      </c>
      <c r="W778" s="43">
        <f>IF($B778="","",IF(L778="","⚠ Basic salary missing",IF(SUM(R778:U778)&gt;SUM(L778:Q778),"⚠ Deductions exceed earnings",IF(COUNTIF($A$4:$A$1003,$A778)&gt;1,"⚠ Duplicate ID","✓"))))</f>
      </c>
    </row>
    <row r="779" spans="22:23" x14ac:dyDescent="0.25">
      <c r="V779" s="42">
        <f>IF($B779="","",SUM(L779:Q779)-SUM(R779:U779))</f>
      </c>
      <c r="W779" s="43">
        <f>IF($B779="","",IF(L779="","⚠ Basic salary missing",IF(SUM(R779:U779)&gt;SUM(L779:Q779),"⚠ Deductions exceed earnings",IF(COUNTIF($A$4:$A$1003,$A779)&gt;1,"⚠ Duplicate ID","✓"))))</f>
      </c>
    </row>
    <row r="780" spans="22:23" x14ac:dyDescent="0.25">
      <c r="V780" s="42">
        <f>IF($B780="","",SUM(L780:Q780)-SUM(R780:U780))</f>
      </c>
      <c r="W780" s="43">
        <f>IF($B780="","",IF(L780="","⚠ Basic salary missing",IF(SUM(R780:U780)&gt;SUM(L780:Q780),"⚠ Deductions exceed earnings",IF(COUNTIF($A$4:$A$1003,$A780)&gt;1,"⚠ Duplicate ID","✓"))))</f>
      </c>
    </row>
    <row r="781" spans="22:23" x14ac:dyDescent="0.25">
      <c r="V781" s="42">
        <f>IF($B781="","",SUM(L781:Q781)-SUM(R781:U781))</f>
      </c>
      <c r="W781" s="43">
        <f>IF($B781="","",IF(L781="","⚠ Basic salary missing",IF(SUM(R781:U781)&gt;SUM(L781:Q781),"⚠ Deductions exceed earnings",IF(COUNTIF($A$4:$A$1003,$A781)&gt;1,"⚠ Duplicate ID","✓"))))</f>
      </c>
    </row>
    <row r="782" spans="22:23" x14ac:dyDescent="0.25">
      <c r="V782" s="42">
        <f>IF($B782="","",SUM(L782:Q782)-SUM(R782:U782))</f>
      </c>
      <c r="W782" s="43">
        <f>IF($B782="","",IF(L782="","⚠ Basic salary missing",IF(SUM(R782:U782)&gt;SUM(L782:Q782),"⚠ Deductions exceed earnings",IF(COUNTIF($A$4:$A$1003,$A782)&gt;1,"⚠ Duplicate ID","✓"))))</f>
      </c>
    </row>
    <row r="783" spans="22:23" x14ac:dyDescent="0.25">
      <c r="V783" s="42">
        <f>IF($B783="","",SUM(L783:Q783)-SUM(R783:U783))</f>
      </c>
      <c r="W783" s="43">
        <f>IF($B783="","",IF(L783="","⚠ Basic salary missing",IF(SUM(R783:U783)&gt;SUM(L783:Q783),"⚠ Deductions exceed earnings",IF(COUNTIF($A$4:$A$1003,$A783)&gt;1,"⚠ Duplicate ID","✓"))))</f>
      </c>
    </row>
    <row r="784" spans="22:23" x14ac:dyDescent="0.25">
      <c r="V784" s="42">
        <f>IF($B784="","",SUM(L784:Q784)-SUM(R784:U784))</f>
      </c>
      <c r="W784" s="43">
        <f>IF($B784="","",IF(L784="","⚠ Basic salary missing",IF(SUM(R784:U784)&gt;SUM(L784:Q784),"⚠ Deductions exceed earnings",IF(COUNTIF($A$4:$A$1003,$A784)&gt;1,"⚠ Duplicate ID","✓"))))</f>
      </c>
    </row>
    <row r="785" spans="22:23" x14ac:dyDescent="0.25">
      <c r="V785" s="42">
        <f>IF($B785="","",SUM(L785:Q785)-SUM(R785:U785))</f>
      </c>
      <c r="W785" s="43">
        <f>IF($B785="","",IF(L785="","⚠ Basic salary missing",IF(SUM(R785:U785)&gt;SUM(L785:Q785),"⚠ Deductions exceed earnings",IF(COUNTIF($A$4:$A$1003,$A785)&gt;1,"⚠ Duplicate ID","✓"))))</f>
      </c>
    </row>
    <row r="786" spans="22:23" x14ac:dyDescent="0.25">
      <c r="V786" s="42">
        <f>IF($B786="","",SUM(L786:Q786)-SUM(R786:U786))</f>
      </c>
      <c r="W786" s="43">
        <f>IF($B786="","",IF(L786="","⚠ Basic salary missing",IF(SUM(R786:U786)&gt;SUM(L786:Q786),"⚠ Deductions exceed earnings",IF(COUNTIF($A$4:$A$1003,$A786)&gt;1,"⚠ Duplicate ID","✓"))))</f>
      </c>
    </row>
    <row r="787" spans="22:23" x14ac:dyDescent="0.25">
      <c r="V787" s="42">
        <f>IF($B787="","",SUM(L787:Q787)-SUM(R787:U787))</f>
      </c>
      <c r="W787" s="43">
        <f>IF($B787="","",IF(L787="","⚠ Basic salary missing",IF(SUM(R787:U787)&gt;SUM(L787:Q787),"⚠ Deductions exceed earnings",IF(COUNTIF($A$4:$A$1003,$A787)&gt;1,"⚠ Duplicate ID","✓"))))</f>
      </c>
    </row>
    <row r="788" spans="22:23" x14ac:dyDescent="0.25">
      <c r="V788" s="42">
        <f>IF($B788="","",SUM(L788:Q788)-SUM(R788:U788))</f>
      </c>
      <c r="W788" s="43">
        <f>IF($B788="","",IF(L788="","⚠ Basic salary missing",IF(SUM(R788:U788)&gt;SUM(L788:Q788),"⚠ Deductions exceed earnings",IF(COUNTIF($A$4:$A$1003,$A788)&gt;1,"⚠ Duplicate ID","✓"))))</f>
      </c>
    </row>
    <row r="789" spans="22:23" x14ac:dyDescent="0.25">
      <c r="V789" s="42">
        <f>IF($B789="","",SUM(L789:Q789)-SUM(R789:U789))</f>
      </c>
      <c r="W789" s="43">
        <f>IF($B789="","",IF(L789="","⚠ Basic salary missing",IF(SUM(R789:U789)&gt;SUM(L789:Q789),"⚠ Deductions exceed earnings",IF(COUNTIF($A$4:$A$1003,$A789)&gt;1,"⚠ Duplicate ID","✓"))))</f>
      </c>
    </row>
    <row r="790" spans="22:23" x14ac:dyDescent="0.25">
      <c r="V790" s="42">
        <f>IF($B790="","",SUM(L790:Q790)-SUM(R790:U790))</f>
      </c>
      <c r="W790" s="43">
        <f>IF($B790="","",IF(L790="","⚠ Basic salary missing",IF(SUM(R790:U790)&gt;SUM(L790:Q790),"⚠ Deductions exceed earnings",IF(COUNTIF($A$4:$A$1003,$A790)&gt;1,"⚠ Duplicate ID","✓"))))</f>
      </c>
    </row>
    <row r="791" spans="22:23" x14ac:dyDescent="0.25">
      <c r="V791" s="42">
        <f>IF($B791="","",SUM(L791:Q791)-SUM(R791:U791))</f>
      </c>
      <c r="W791" s="43">
        <f>IF($B791="","",IF(L791="","⚠ Basic salary missing",IF(SUM(R791:U791)&gt;SUM(L791:Q791),"⚠ Deductions exceed earnings",IF(COUNTIF($A$4:$A$1003,$A791)&gt;1,"⚠ Duplicate ID","✓"))))</f>
      </c>
    </row>
    <row r="792" spans="22:23" x14ac:dyDescent="0.25">
      <c r="V792" s="42">
        <f>IF($B792="","",SUM(L792:Q792)-SUM(R792:U792))</f>
      </c>
      <c r="W792" s="43">
        <f>IF($B792="","",IF(L792="","⚠ Basic salary missing",IF(SUM(R792:U792)&gt;SUM(L792:Q792),"⚠ Deductions exceed earnings",IF(COUNTIF($A$4:$A$1003,$A792)&gt;1,"⚠ Duplicate ID","✓"))))</f>
      </c>
    </row>
    <row r="793" spans="22:23" x14ac:dyDescent="0.25">
      <c r="V793" s="42">
        <f>IF($B793="","",SUM(L793:Q793)-SUM(R793:U793))</f>
      </c>
      <c r="W793" s="43">
        <f>IF($B793="","",IF(L793="","⚠ Basic salary missing",IF(SUM(R793:U793)&gt;SUM(L793:Q793),"⚠ Deductions exceed earnings",IF(COUNTIF($A$4:$A$1003,$A793)&gt;1,"⚠ Duplicate ID","✓"))))</f>
      </c>
    </row>
    <row r="794" spans="22:23" x14ac:dyDescent="0.25">
      <c r="V794" s="42">
        <f>IF($B794="","",SUM(L794:Q794)-SUM(R794:U794))</f>
      </c>
      <c r="W794" s="43">
        <f>IF($B794="","",IF(L794="","⚠ Basic salary missing",IF(SUM(R794:U794)&gt;SUM(L794:Q794),"⚠ Deductions exceed earnings",IF(COUNTIF($A$4:$A$1003,$A794)&gt;1,"⚠ Duplicate ID","✓"))))</f>
      </c>
    </row>
    <row r="795" spans="22:23" x14ac:dyDescent="0.25">
      <c r="V795" s="42">
        <f>IF($B795="","",SUM(L795:Q795)-SUM(R795:U795))</f>
      </c>
      <c r="W795" s="43">
        <f>IF($B795="","",IF(L795="","⚠ Basic salary missing",IF(SUM(R795:U795)&gt;SUM(L795:Q795),"⚠ Deductions exceed earnings",IF(COUNTIF($A$4:$A$1003,$A795)&gt;1,"⚠ Duplicate ID","✓"))))</f>
      </c>
    </row>
    <row r="796" spans="22:23" x14ac:dyDescent="0.25">
      <c r="V796" s="42">
        <f>IF($B796="","",SUM(L796:Q796)-SUM(R796:U796))</f>
      </c>
      <c r="W796" s="43">
        <f>IF($B796="","",IF(L796="","⚠ Basic salary missing",IF(SUM(R796:U796)&gt;SUM(L796:Q796),"⚠ Deductions exceed earnings",IF(COUNTIF($A$4:$A$1003,$A796)&gt;1,"⚠ Duplicate ID","✓"))))</f>
      </c>
    </row>
    <row r="797" spans="22:23" x14ac:dyDescent="0.25">
      <c r="V797" s="42">
        <f>IF($B797="","",SUM(L797:Q797)-SUM(R797:U797))</f>
      </c>
      <c r="W797" s="43">
        <f>IF($B797="","",IF(L797="","⚠ Basic salary missing",IF(SUM(R797:U797)&gt;SUM(L797:Q797),"⚠ Deductions exceed earnings",IF(COUNTIF($A$4:$A$1003,$A797)&gt;1,"⚠ Duplicate ID","✓"))))</f>
      </c>
    </row>
    <row r="798" spans="22:23" x14ac:dyDescent="0.25">
      <c r="V798" s="42">
        <f>IF($B798="","",SUM(L798:Q798)-SUM(R798:U798))</f>
      </c>
      <c r="W798" s="43">
        <f>IF($B798="","",IF(L798="","⚠ Basic salary missing",IF(SUM(R798:U798)&gt;SUM(L798:Q798),"⚠ Deductions exceed earnings",IF(COUNTIF($A$4:$A$1003,$A798)&gt;1,"⚠ Duplicate ID","✓"))))</f>
      </c>
    </row>
    <row r="799" spans="22:23" x14ac:dyDescent="0.25">
      <c r="V799" s="42">
        <f>IF($B799="","",SUM(L799:Q799)-SUM(R799:U799))</f>
      </c>
      <c r="W799" s="43">
        <f>IF($B799="","",IF(L799="","⚠ Basic salary missing",IF(SUM(R799:U799)&gt;SUM(L799:Q799),"⚠ Deductions exceed earnings",IF(COUNTIF($A$4:$A$1003,$A799)&gt;1,"⚠ Duplicate ID","✓"))))</f>
      </c>
    </row>
    <row r="800" spans="22:23" x14ac:dyDescent="0.25">
      <c r="V800" s="42">
        <f>IF($B800="","",SUM(L800:Q800)-SUM(R800:U800))</f>
      </c>
      <c r="W800" s="43">
        <f>IF($B800="","",IF(L800="","⚠ Basic salary missing",IF(SUM(R800:U800)&gt;SUM(L800:Q800),"⚠ Deductions exceed earnings",IF(COUNTIF($A$4:$A$1003,$A800)&gt;1,"⚠ Duplicate ID","✓"))))</f>
      </c>
    </row>
    <row r="801" spans="22:23" x14ac:dyDescent="0.25">
      <c r="V801" s="42">
        <f>IF($B801="","",SUM(L801:Q801)-SUM(R801:U801))</f>
      </c>
      <c r="W801" s="43">
        <f>IF($B801="","",IF(L801="","⚠ Basic salary missing",IF(SUM(R801:U801)&gt;SUM(L801:Q801),"⚠ Deductions exceed earnings",IF(COUNTIF($A$4:$A$1003,$A801)&gt;1,"⚠ Duplicate ID","✓"))))</f>
      </c>
    </row>
    <row r="802" spans="22:23" x14ac:dyDescent="0.25">
      <c r="V802" s="42">
        <f>IF($B802="","",SUM(L802:Q802)-SUM(R802:U802))</f>
      </c>
      <c r="W802" s="43">
        <f>IF($B802="","",IF(L802="","⚠ Basic salary missing",IF(SUM(R802:U802)&gt;SUM(L802:Q802),"⚠ Deductions exceed earnings",IF(COUNTIF($A$4:$A$1003,$A802)&gt;1,"⚠ Duplicate ID","✓"))))</f>
      </c>
    </row>
    <row r="803" spans="22:23" x14ac:dyDescent="0.25">
      <c r="V803" s="42">
        <f>IF($B803="","",SUM(L803:Q803)-SUM(R803:U803))</f>
      </c>
      <c r="W803" s="43">
        <f>IF($B803="","",IF(L803="","⚠ Basic salary missing",IF(SUM(R803:U803)&gt;SUM(L803:Q803),"⚠ Deductions exceed earnings",IF(COUNTIF($A$4:$A$1003,$A803)&gt;1,"⚠ Duplicate ID","✓"))))</f>
      </c>
    </row>
    <row r="804" spans="22:23" x14ac:dyDescent="0.25">
      <c r="V804" s="42">
        <f>IF($B804="","",SUM(L804:Q804)-SUM(R804:U804))</f>
      </c>
      <c r="W804" s="43">
        <f>IF($B804="","",IF(L804="","⚠ Basic salary missing",IF(SUM(R804:U804)&gt;SUM(L804:Q804),"⚠ Deductions exceed earnings",IF(COUNTIF($A$4:$A$1003,$A804)&gt;1,"⚠ Duplicate ID","✓"))))</f>
      </c>
    </row>
    <row r="805" spans="22:23" x14ac:dyDescent="0.25">
      <c r="V805" s="42">
        <f>IF($B805="","",SUM(L805:Q805)-SUM(R805:U805))</f>
      </c>
      <c r="W805" s="43">
        <f>IF($B805="","",IF(L805="","⚠ Basic salary missing",IF(SUM(R805:U805)&gt;SUM(L805:Q805),"⚠ Deductions exceed earnings",IF(COUNTIF($A$4:$A$1003,$A805)&gt;1,"⚠ Duplicate ID","✓"))))</f>
      </c>
    </row>
    <row r="806" spans="22:23" x14ac:dyDescent="0.25">
      <c r="V806" s="42">
        <f>IF($B806="","",SUM(L806:Q806)-SUM(R806:U806))</f>
      </c>
      <c r="W806" s="43">
        <f>IF($B806="","",IF(L806="","⚠ Basic salary missing",IF(SUM(R806:U806)&gt;SUM(L806:Q806),"⚠ Deductions exceed earnings",IF(COUNTIF($A$4:$A$1003,$A806)&gt;1,"⚠ Duplicate ID","✓"))))</f>
      </c>
    </row>
    <row r="807" spans="22:23" x14ac:dyDescent="0.25">
      <c r="V807" s="42">
        <f>IF($B807="","",SUM(L807:Q807)-SUM(R807:U807))</f>
      </c>
      <c r="W807" s="43">
        <f>IF($B807="","",IF(L807="","⚠ Basic salary missing",IF(SUM(R807:U807)&gt;SUM(L807:Q807),"⚠ Deductions exceed earnings",IF(COUNTIF($A$4:$A$1003,$A807)&gt;1,"⚠ Duplicate ID","✓"))))</f>
      </c>
    </row>
    <row r="808" spans="22:23" x14ac:dyDescent="0.25">
      <c r="V808" s="42">
        <f>IF($B808="","",SUM(L808:Q808)-SUM(R808:U808))</f>
      </c>
      <c r="W808" s="43">
        <f>IF($B808="","",IF(L808="","⚠ Basic salary missing",IF(SUM(R808:U808)&gt;SUM(L808:Q808),"⚠ Deductions exceed earnings",IF(COUNTIF($A$4:$A$1003,$A808)&gt;1,"⚠ Duplicate ID","✓"))))</f>
      </c>
    </row>
    <row r="809" spans="22:23" x14ac:dyDescent="0.25">
      <c r="V809" s="42">
        <f>IF($B809="","",SUM(L809:Q809)-SUM(R809:U809))</f>
      </c>
      <c r="W809" s="43">
        <f>IF($B809="","",IF(L809="","⚠ Basic salary missing",IF(SUM(R809:U809)&gt;SUM(L809:Q809),"⚠ Deductions exceed earnings",IF(COUNTIF($A$4:$A$1003,$A809)&gt;1,"⚠ Duplicate ID","✓"))))</f>
      </c>
    </row>
    <row r="810" spans="22:23" x14ac:dyDescent="0.25">
      <c r="V810" s="42">
        <f>IF($B810="","",SUM(L810:Q810)-SUM(R810:U810))</f>
      </c>
      <c r="W810" s="43">
        <f>IF($B810="","",IF(L810="","⚠ Basic salary missing",IF(SUM(R810:U810)&gt;SUM(L810:Q810),"⚠ Deductions exceed earnings",IF(COUNTIF($A$4:$A$1003,$A810)&gt;1,"⚠ Duplicate ID","✓"))))</f>
      </c>
    </row>
    <row r="811" spans="22:23" x14ac:dyDescent="0.25">
      <c r="V811" s="42">
        <f>IF($B811="","",SUM(L811:Q811)-SUM(R811:U811))</f>
      </c>
      <c r="W811" s="43">
        <f>IF($B811="","",IF(L811="","⚠ Basic salary missing",IF(SUM(R811:U811)&gt;SUM(L811:Q811),"⚠ Deductions exceed earnings",IF(COUNTIF($A$4:$A$1003,$A811)&gt;1,"⚠ Duplicate ID","✓"))))</f>
      </c>
    </row>
    <row r="812" spans="22:23" x14ac:dyDescent="0.25">
      <c r="V812" s="42">
        <f>IF($B812="","",SUM(L812:Q812)-SUM(R812:U812))</f>
      </c>
      <c r="W812" s="43">
        <f>IF($B812="","",IF(L812="","⚠ Basic salary missing",IF(SUM(R812:U812)&gt;SUM(L812:Q812),"⚠ Deductions exceed earnings",IF(COUNTIF($A$4:$A$1003,$A812)&gt;1,"⚠ Duplicate ID","✓"))))</f>
      </c>
    </row>
    <row r="813" spans="22:23" x14ac:dyDescent="0.25">
      <c r="V813" s="42">
        <f>IF($B813="","",SUM(L813:Q813)-SUM(R813:U813))</f>
      </c>
      <c r="W813" s="43">
        <f>IF($B813="","",IF(L813="","⚠ Basic salary missing",IF(SUM(R813:U813)&gt;SUM(L813:Q813),"⚠ Deductions exceed earnings",IF(COUNTIF($A$4:$A$1003,$A813)&gt;1,"⚠ Duplicate ID","✓"))))</f>
      </c>
    </row>
    <row r="814" spans="22:23" x14ac:dyDescent="0.25">
      <c r="V814" s="42">
        <f>IF($B814="","",SUM(L814:Q814)-SUM(R814:U814))</f>
      </c>
      <c r="W814" s="43">
        <f>IF($B814="","",IF(L814="","⚠ Basic salary missing",IF(SUM(R814:U814)&gt;SUM(L814:Q814),"⚠ Deductions exceed earnings",IF(COUNTIF($A$4:$A$1003,$A814)&gt;1,"⚠ Duplicate ID","✓"))))</f>
      </c>
    </row>
    <row r="815" spans="22:23" x14ac:dyDescent="0.25">
      <c r="V815" s="42">
        <f>IF($B815="","",SUM(L815:Q815)-SUM(R815:U815))</f>
      </c>
      <c r="W815" s="43">
        <f>IF($B815="","",IF(L815="","⚠ Basic salary missing",IF(SUM(R815:U815)&gt;SUM(L815:Q815),"⚠ Deductions exceed earnings",IF(COUNTIF($A$4:$A$1003,$A815)&gt;1,"⚠ Duplicate ID","✓"))))</f>
      </c>
    </row>
    <row r="816" spans="22:23" x14ac:dyDescent="0.25">
      <c r="V816" s="42">
        <f>IF($B816="","",SUM(L816:Q816)-SUM(R816:U816))</f>
      </c>
      <c r="W816" s="43">
        <f>IF($B816="","",IF(L816="","⚠ Basic salary missing",IF(SUM(R816:U816)&gt;SUM(L816:Q816),"⚠ Deductions exceed earnings",IF(COUNTIF($A$4:$A$1003,$A816)&gt;1,"⚠ Duplicate ID","✓"))))</f>
      </c>
    </row>
    <row r="817" spans="22:23" x14ac:dyDescent="0.25">
      <c r="V817" s="42">
        <f>IF($B817="","",SUM(L817:Q817)-SUM(R817:U817))</f>
      </c>
      <c r="W817" s="43">
        <f>IF($B817="","",IF(L817="","⚠ Basic salary missing",IF(SUM(R817:U817)&gt;SUM(L817:Q817),"⚠ Deductions exceed earnings",IF(COUNTIF($A$4:$A$1003,$A817)&gt;1,"⚠ Duplicate ID","✓"))))</f>
      </c>
    </row>
    <row r="818" spans="22:23" x14ac:dyDescent="0.25">
      <c r="V818" s="42">
        <f>IF($B818="","",SUM(L818:Q818)-SUM(R818:U818))</f>
      </c>
      <c r="W818" s="43">
        <f>IF($B818="","",IF(L818="","⚠ Basic salary missing",IF(SUM(R818:U818)&gt;SUM(L818:Q818),"⚠ Deductions exceed earnings",IF(COUNTIF($A$4:$A$1003,$A818)&gt;1,"⚠ Duplicate ID","✓"))))</f>
      </c>
    </row>
    <row r="819" spans="22:23" x14ac:dyDescent="0.25">
      <c r="V819" s="42">
        <f>IF($B819="","",SUM(L819:Q819)-SUM(R819:U819))</f>
      </c>
      <c r="W819" s="43">
        <f>IF($B819="","",IF(L819="","⚠ Basic salary missing",IF(SUM(R819:U819)&gt;SUM(L819:Q819),"⚠ Deductions exceed earnings",IF(COUNTIF($A$4:$A$1003,$A819)&gt;1,"⚠ Duplicate ID","✓"))))</f>
      </c>
    </row>
    <row r="820" spans="22:23" x14ac:dyDescent="0.25">
      <c r="V820" s="42">
        <f>IF($B820="","",SUM(L820:Q820)-SUM(R820:U820))</f>
      </c>
      <c r="W820" s="43">
        <f>IF($B820="","",IF(L820="","⚠ Basic salary missing",IF(SUM(R820:U820)&gt;SUM(L820:Q820),"⚠ Deductions exceed earnings",IF(COUNTIF($A$4:$A$1003,$A820)&gt;1,"⚠ Duplicate ID","✓"))))</f>
      </c>
    </row>
    <row r="821" spans="22:23" x14ac:dyDescent="0.25">
      <c r="V821" s="42">
        <f>IF($B821="","",SUM(L821:Q821)-SUM(R821:U821))</f>
      </c>
      <c r="W821" s="43">
        <f>IF($B821="","",IF(L821="","⚠ Basic salary missing",IF(SUM(R821:U821)&gt;SUM(L821:Q821),"⚠ Deductions exceed earnings",IF(COUNTIF($A$4:$A$1003,$A821)&gt;1,"⚠ Duplicate ID","✓"))))</f>
      </c>
    </row>
    <row r="822" spans="22:23" x14ac:dyDescent="0.25">
      <c r="V822" s="42">
        <f>IF($B822="","",SUM(L822:Q822)-SUM(R822:U822))</f>
      </c>
      <c r="W822" s="43">
        <f>IF($B822="","",IF(L822="","⚠ Basic salary missing",IF(SUM(R822:U822)&gt;SUM(L822:Q822),"⚠ Deductions exceed earnings",IF(COUNTIF($A$4:$A$1003,$A822)&gt;1,"⚠ Duplicate ID","✓"))))</f>
      </c>
    </row>
    <row r="823" spans="22:23" x14ac:dyDescent="0.25">
      <c r="V823" s="42">
        <f>IF($B823="","",SUM(L823:Q823)-SUM(R823:U823))</f>
      </c>
      <c r="W823" s="43">
        <f>IF($B823="","",IF(L823="","⚠ Basic salary missing",IF(SUM(R823:U823)&gt;SUM(L823:Q823),"⚠ Deductions exceed earnings",IF(COUNTIF($A$4:$A$1003,$A823)&gt;1,"⚠ Duplicate ID","✓"))))</f>
      </c>
    </row>
    <row r="824" spans="22:23" x14ac:dyDescent="0.25">
      <c r="V824" s="42">
        <f>IF($B824="","",SUM(L824:Q824)-SUM(R824:U824))</f>
      </c>
      <c r="W824" s="43">
        <f>IF($B824="","",IF(L824="","⚠ Basic salary missing",IF(SUM(R824:U824)&gt;SUM(L824:Q824),"⚠ Deductions exceed earnings",IF(COUNTIF($A$4:$A$1003,$A824)&gt;1,"⚠ Duplicate ID","✓"))))</f>
      </c>
    </row>
    <row r="825" spans="22:23" x14ac:dyDescent="0.25">
      <c r="V825" s="42">
        <f>IF($B825="","",SUM(L825:Q825)-SUM(R825:U825))</f>
      </c>
      <c r="W825" s="43">
        <f>IF($B825="","",IF(L825="","⚠ Basic salary missing",IF(SUM(R825:U825)&gt;SUM(L825:Q825),"⚠ Deductions exceed earnings",IF(COUNTIF($A$4:$A$1003,$A825)&gt;1,"⚠ Duplicate ID","✓"))))</f>
      </c>
    </row>
    <row r="826" spans="22:23" x14ac:dyDescent="0.25">
      <c r="V826" s="42">
        <f>IF($B826="","",SUM(L826:Q826)-SUM(R826:U826))</f>
      </c>
      <c r="W826" s="43">
        <f>IF($B826="","",IF(L826="","⚠ Basic salary missing",IF(SUM(R826:U826)&gt;SUM(L826:Q826),"⚠ Deductions exceed earnings",IF(COUNTIF($A$4:$A$1003,$A826)&gt;1,"⚠ Duplicate ID","✓"))))</f>
      </c>
    </row>
    <row r="827" spans="22:23" x14ac:dyDescent="0.25">
      <c r="V827" s="42">
        <f>IF($B827="","",SUM(L827:Q827)-SUM(R827:U827))</f>
      </c>
      <c r="W827" s="43">
        <f>IF($B827="","",IF(L827="","⚠ Basic salary missing",IF(SUM(R827:U827)&gt;SUM(L827:Q827),"⚠ Deductions exceed earnings",IF(COUNTIF($A$4:$A$1003,$A827)&gt;1,"⚠ Duplicate ID","✓"))))</f>
      </c>
    </row>
    <row r="828" spans="22:23" x14ac:dyDescent="0.25">
      <c r="V828" s="42">
        <f>IF($B828="","",SUM(L828:Q828)-SUM(R828:U828))</f>
      </c>
      <c r="W828" s="43">
        <f>IF($B828="","",IF(L828="","⚠ Basic salary missing",IF(SUM(R828:U828)&gt;SUM(L828:Q828),"⚠ Deductions exceed earnings",IF(COUNTIF($A$4:$A$1003,$A828)&gt;1,"⚠ Duplicate ID","✓"))))</f>
      </c>
    </row>
    <row r="829" spans="22:23" x14ac:dyDescent="0.25">
      <c r="V829" s="42">
        <f>IF($B829="","",SUM(L829:Q829)-SUM(R829:U829))</f>
      </c>
      <c r="W829" s="43">
        <f>IF($B829="","",IF(L829="","⚠ Basic salary missing",IF(SUM(R829:U829)&gt;SUM(L829:Q829),"⚠ Deductions exceed earnings",IF(COUNTIF($A$4:$A$1003,$A829)&gt;1,"⚠ Duplicate ID","✓"))))</f>
      </c>
    </row>
    <row r="830" spans="22:23" x14ac:dyDescent="0.25">
      <c r="V830" s="42">
        <f>IF($B830="","",SUM(L830:Q830)-SUM(R830:U830))</f>
      </c>
      <c r="W830" s="43">
        <f>IF($B830="","",IF(L830="","⚠ Basic salary missing",IF(SUM(R830:U830)&gt;SUM(L830:Q830),"⚠ Deductions exceed earnings",IF(COUNTIF($A$4:$A$1003,$A830)&gt;1,"⚠ Duplicate ID","✓"))))</f>
      </c>
    </row>
    <row r="831" spans="22:23" x14ac:dyDescent="0.25">
      <c r="V831" s="42">
        <f>IF($B831="","",SUM(L831:Q831)-SUM(R831:U831))</f>
      </c>
      <c r="W831" s="43">
        <f>IF($B831="","",IF(L831="","⚠ Basic salary missing",IF(SUM(R831:U831)&gt;SUM(L831:Q831),"⚠ Deductions exceed earnings",IF(COUNTIF($A$4:$A$1003,$A831)&gt;1,"⚠ Duplicate ID","✓"))))</f>
      </c>
    </row>
    <row r="832" spans="22:23" x14ac:dyDescent="0.25">
      <c r="V832" s="42">
        <f>IF($B832="","",SUM(L832:Q832)-SUM(R832:U832))</f>
      </c>
      <c r="W832" s="43">
        <f>IF($B832="","",IF(L832="","⚠ Basic salary missing",IF(SUM(R832:U832)&gt;SUM(L832:Q832),"⚠ Deductions exceed earnings",IF(COUNTIF($A$4:$A$1003,$A832)&gt;1,"⚠ Duplicate ID","✓"))))</f>
      </c>
    </row>
    <row r="833" spans="22:23" x14ac:dyDescent="0.25">
      <c r="V833" s="42">
        <f>IF($B833="","",SUM(L833:Q833)-SUM(R833:U833))</f>
      </c>
      <c r="W833" s="43">
        <f>IF($B833="","",IF(L833="","⚠ Basic salary missing",IF(SUM(R833:U833)&gt;SUM(L833:Q833),"⚠ Deductions exceed earnings",IF(COUNTIF($A$4:$A$1003,$A833)&gt;1,"⚠ Duplicate ID","✓"))))</f>
      </c>
    </row>
    <row r="834" spans="22:23" x14ac:dyDescent="0.25">
      <c r="V834" s="42">
        <f>IF($B834="","",SUM(L834:Q834)-SUM(R834:U834))</f>
      </c>
      <c r="W834" s="43">
        <f>IF($B834="","",IF(L834="","⚠ Basic salary missing",IF(SUM(R834:U834)&gt;SUM(L834:Q834),"⚠ Deductions exceed earnings",IF(COUNTIF($A$4:$A$1003,$A834)&gt;1,"⚠ Duplicate ID","✓"))))</f>
      </c>
    </row>
    <row r="835" spans="22:23" x14ac:dyDescent="0.25">
      <c r="V835" s="42">
        <f>IF($B835="","",SUM(L835:Q835)-SUM(R835:U835))</f>
      </c>
      <c r="W835" s="43">
        <f>IF($B835="","",IF(L835="","⚠ Basic salary missing",IF(SUM(R835:U835)&gt;SUM(L835:Q835),"⚠ Deductions exceed earnings",IF(COUNTIF($A$4:$A$1003,$A835)&gt;1,"⚠ Duplicate ID","✓"))))</f>
      </c>
    </row>
    <row r="836" spans="22:23" x14ac:dyDescent="0.25">
      <c r="V836" s="42">
        <f>IF($B836="","",SUM(L836:Q836)-SUM(R836:U836))</f>
      </c>
      <c r="W836" s="43">
        <f>IF($B836="","",IF(L836="","⚠ Basic salary missing",IF(SUM(R836:U836)&gt;SUM(L836:Q836),"⚠ Deductions exceed earnings",IF(COUNTIF($A$4:$A$1003,$A836)&gt;1,"⚠ Duplicate ID","✓"))))</f>
      </c>
    </row>
    <row r="837" spans="22:23" x14ac:dyDescent="0.25">
      <c r="V837" s="42">
        <f>IF($B837="","",SUM(L837:Q837)-SUM(R837:U837))</f>
      </c>
      <c r="W837" s="43">
        <f>IF($B837="","",IF(L837="","⚠ Basic salary missing",IF(SUM(R837:U837)&gt;SUM(L837:Q837),"⚠ Deductions exceed earnings",IF(COUNTIF($A$4:$A$1003,$A837)&gt;1,"⚠ Duplicate ID","✓"))))</f>
      </c>
    </row>
    <row r="838" spans="22:23" x14ac:dyDescent="0.25">
      <c r="V838" s="42">
        <f>IF($B838="","",SUM(L838:Q838)-SUM(R838:U838))</f>
      </c>
      <c r="W838" s="43">
        <f>IF($B838="","",IF(L838="","⚠ Basic salary missing",IF(SUM(R838:U838)&gt;SUM(L838:Q838),"⚠ Deductions exceed earnings",IF(COUNTIF($A$4:$A$1003,$A838)&gt;1,"⚠ Duplicate ID","✓"))))</f>
      </c>
    </row>
    <row r="839" spans="22:23" x14ac:dyDescent="0.25">
      <c r="V839" s="42">
        <f>IF($B839="","",SUM(L839:Q839)-SUM(R839:U839))</f>
      </c>
      <c r="W839" s="43">
        <f>IF($B839="","",IF(L839="","⚠ Basic salary missing",IF(SUM(R839:U839)&gt;SUM(L839:Q839),"⚠ Deductions exceed earnings",IF(COUNTIF($A$4:$A$1003,$A839)&gt;1,"⚠ Duplicate ID","✓"))))</f>
      </c>
    </row>
    <row r="840" spans="22:23" x14ac:dyDescent="0.25">
      <c r="V840" s="42">
        <f>IF($B840="","",SUM(L840:Q840)-SUM(R840:U840))</f>
      </c>
      <c r="W840" s="43">
        <f>IF($B840="","",IF(L840="","⚠ Basic salary missing",IF(SUM(R840:U840)&gt;SUM(L840:Q840),"⚠ Deductions exceed earnings",IF(COUNTIF($A$4:$A$1003,$A840)&gt;1,"⚠ Duplicate ID","✓"))))</f>
      </c>
    </row>
    <row r="841" spans="22:23" x14ac:dyDescent="0.25">
      <c r="V841" s="42">
        <f>IF($B841="","",SUM(L841:Q841)-SUM(R841:U841))</f>
      </c>
      <c r="W841" s="43">
        <f>IF($B841="","",IF(L841="","⚠ Basic salary missing",IF(SUM(R841:U841)&gt;SUM(L841:Q841),"⚠ Deductions exceed earnings",IF(COUNTIF($A$4:$A$1003,$A841)&gt;1,"⚠ Duplicate ID","✓"))))</f>
      </c>
    </row>
    <row r="842" spans="22:23" x14ac:dyDescent="0.25">
      <c r="V842" s="42">
        <f>IF($B842="","",SUM(L842:Q842)-SUM(R842:U842))</f>
      </c>
      <c r="W842" s="43">
        <f>IF($B842="","",IF(L842="","⚠ Basic salary missing",IF(SUM(R842:U842)&gt;SUM(L842:Q842),"⚠ Deductions exceed earnings",IF(COUNTIF($A$4:$A$1003,$A842)&gt;1,"⚠ Duplicate ID","✓"))))</f>
      </c>
    </row>
    <row r="843" spans="22:23" x14ac:dyDescent="0.25">
      <c r="V843" s="42">
        <f>IF($B843="","",SUM(L843:Q843)-SUM(R843:U843))</f>
      </c>
      <c r="W843" s="43">
        <f>IF($B843="","",IF(L843="","⚠ Basic salary missing",IF(SUM(R843:U843)&gt;SUM(L843:Q843),"⚠ Deductions exceed earnings",IF(COUNTIF($A$4:$A$1003,$A843)&gt;1,"⚠ Duplicate ID","✓"))))</f>
      </c>
    </row>
    <row r="844" spans="22:23" x14ac:dyDescent="0.25">
      <c r="V844" s="42">
        <f>IF($B844="","",SUM(L844:Q844)-SUM(R844:U844))</f>
      </c>
      <c r="W844" s="43">
        <f>IF($B844="","",IF(L844="","⚠ Basic salary missing",IF(SUM(R844:U844)&gt;SUM(L844:Q844),"⚠ Deductions exceed earnings",IF(COUNTIF($A$4:$A$1003,$A844)&gt;1,"⚠ Duplicate ID","✓"))))</f>
      </c>
    </row>
    <row r="845" spans="22:23" x14ac:dyDescent="0.25">
      <c r="V845" s="42">
        <f>IF($B845="","",SUM(L845:Q845)-SUM(R845:U845))</f>
      </c>
      <c r="W845" s="43">
        <f>IF($B845="","",IF(L845="","⚠ Basic salary missing",IF(SUM(R845:U845)&gt;SUM(L845:Q845),"⚠ Deductions exceed earnings",IF(COUNTIF($A$4:$A$1003,$A845)&gt;1,"⚠ Duplicate ID","✓"))))</f>
      </c>
    </row>
    <row r="846" spans="22:23" x14ac:dyDescent="0.25">
      <c r="V846" s="42">
        <f>IF($B846="","",SUM(L846:Q846)-SUM(R846:U846))</f>
      </c>
      <c r="W846" s="43">
        <f>IF($B846="","",IF(L846="","⚠ Basic salary missing",IF(SUM(R846:U846)&gt;SUM(L846:Q846),"⚠ Deductions exceed earnings",IF(COUNTIF($A$4:$A$1003,$A846)&gt;1,"⚠ Duplicate ID","✓"))))</f>
      </c>
    </row>
    <row r="847" spans="22:23" x14ac:dyDescent="0.25">
      <c r="V847" s="42">
        <f>IF($B847="","",SUM(L847:Q847)-SUM(R847:U847))</f>
      </c>
      <c r="W847" s="43">
        <f>IF($B847="","",IF(L847="","⚠ Basic salary missing",IF(SUM(R847:U847)&gt;SUM(L847:Q847),"⚠ Deductions exceed earnings",IF(COUNTIF($A$4:$A$1003,$A847)&gt;1,"⚠ Duplicate ID","✓"))))</f>
      </c>
    </row>
    <row r="848" spans="22:23" x14ac:dyDescent="0.25">
      <c r="V848" s="42">
        <f>IF($B848="","",SUM(L848:Q848)-SUM(R848:U848))</f>
      </c>
      <c r="W848" s="43">
        <f>IF($B848="","",IF(L848="","⚠ Basic salary missing",IF(SUM(R848:U848)&gt;SUM(L848:Q848),"⚠ Deductions exceed earnings",IF(COUNTIF($A$4:$A$1003,$A848)&gt;1,"⚠ Duplicate ID","✓"))))</f>
      </c>
    </row>
    <row r="849" spans="22:23" x14ac:dyDescent="0.25">
      <c r="V849" s="42">
        <f>IF($B849="","",SUM(L849:Q849)-SUM(R849:U849))</f>
      </c>
      <c r="W849" s="43">
        <f>IF($B849="","",IF(L849="","⚠ Basic salary missing",IF(SUM(R849:U849)&gt;SUM(L849:Q849),"⚠ Deductions exceed earnings",IF(COUNTIF($A$4:$A$1003,$A849)&gt;1,"⚠ Duplicate ID","✓"))))</f>
      </c>
    </row>
    <row r="850" spans="22:23" x14ac:dyDescent="0.25">
      <c r="V850" s="42">
        <f>IF($B850="","",SUM(L850:Q850)-SUM(R850:U850))</f>
      </c>
      <c r="W850" s="43">
        <f>IF($B850="","",IF(L850="","⚠ Basic salary missing",IF(SUM(R850:U850)&gt;SUM(L850:Q850),"⚠ Deductions exceed earnings",IF(COUNTIF($A$4:$A$1003,$A850)&gt;1,"⚠ Duplicate ID","✓"))))</f>
      </c>
    </row>
    <row r="851" spans="22:23" x14ac:dyDescent="0.25">
      <c r="V851" s="42">
        <f>IF($B851="","",SUM(L851:Q851)-SUM(R851:U851))</f>
      </c>
      <c r="W851" s="43">
        <f>IF($B851="","",IF(L851="","⚠ Basic salary missing",IF(SUM(R851:U851)&gt;SUM(L851:Q851),"⚠ Deductions exceed earnings",IF(COUNTIF($A$4:$A$1003,$A851)&gt;1,"⚠ Duplicate ID","✓"))))</f>
      </c>
    </row>
    <row r="852" spans="22:23" x14ac:dyDescent="0.25">
      <c r="V852" s="42">
        <f>IF($B852="","",SUM(L852:Q852)-SUM(R852:U852))</f>
      </c>
      <c r="W852" s="43">
        <f>IF($B852="","",IF(L852="","⚠ Basic salary missing",IF(SUM(R852:U852)&gt;SUM(L852:Q852),"⚠ Deductions exceed earnings",IF(COUNTIF($A$4:$A$1003,$A852)&gt;1,"⚠ Duplicate ID","✓"))))</f>
      </c>
    </row>
    <row r="853" spans="22:23" x14ac:dyDescent="0.25">
      <c r="V853" s="42">
        <f>IF($B853="","",SUM(L853:Q853)-SUM(R853:U853))</f>
      </c>
      <c r="W853" s="43">
        <f>IF($B853="","",IF(L853="","⚠ Basic salary missing",IF(SUM(R853:U853)&gt;SUM(L853:Q853),"⚠ Deductions exceed earnings",IF(COUNTIF($A$4:$A$1003,$A853)&gt;1,"⚠ Duplicate ID","✓"))))</f>
      </c>
    </row>
    <row r="854" spans="22:23" x14ac:dyDescent="0.25">
      <c r="V854" s="42">
        <f>IF($B854="","",SUM(L854:Q854)-SUM(R854:U854))</f>
      </c>
      <c r="W854" s="43">
        <f>IF($B854="","",IF(L854="","⚠ Basic salary missing",IF(SUM(R854:U854)&gt;SUM(L854:Q854),"⚠ Deductions exceed earnings",IF(COUNTIF($A$4:$A$1003,$A854)&gt;1,"⚠ Duplicate ID","✓"))))</f>
      </c>
    </row>
    <row r="855" spans="22:23" x14ac:dyDescent="0.25">
      <c r="V855" s="42">
        <f>IF($B855="","",SUM(L855:Q855)-SUM(R855:U855))</f>
      </c>
      <c r="W855" s="43">
        <f>IF($B855="","",IF(L855="","⚠ Basic salary missing",IF(SUM(R855:U855)&gt;SUM(L855:Q855),"⚠ Deductions exceed earnings",IF(COUNTIF($A$4:$A$1003,$A855)&gt;1,"⚠ Duplicate ID","✓"))))</f>
      </c>
    </row>
    <row r="856" spans="22:23" x14ac:dyDescent="0.25">
      <c r="V856" s="42">
        <f>IF($B856="","",SUM(L856:Q856)-SUM(R856:U856))</f>
      </c>
      <c r="W856" s="43">
        <f>IF($B856="","",IF(L856="","⚠ Basic salary missing",IF(SUM(R856:U856)&gt;SUM(L856:Q856),"⚠ Deductions exceed earnings",IF(COUNTIF($A$4:$A$1003,$A856)&gt;1,"⚠ Duplicate ID","✓"))))</f>
      </c>
    </row>
    <row r="857" spans="22:23" x14ac:dyDescent="0.25">
      <c r="V857" s="42">
        <f>IF($B857="","",SUM(L857:Q857)-SUM(R857:U857))</f>
      </c>
      <c r="W857" s="43">
        <f>IF($B857="","",IF(L857="","⚠ Basic salary missing",IF(SUM(R857:U857)&gt;SUM(L857:Q857),"⚠ Deductions exceed earnings",IF(COUNTIF($A$4:$A$1003,$A857)&gt;1,"⚠ Duplicate ID","✓"))))</f>
      </c>
    </row>
    <row r="858" spans="22:23" x14ac:dyDescent="0.25">
      <c r="V858" s="42">
        <f>IF($B858="","",SUM(L858:Q858)-SUM(R858:U858))</f>
      </c>
      <c r="W858" s="43">
        <f>IF($B858="","",IF(L858="","⚠ Basic salary missing",IF(SUM(R858:U858)&gt;SUM(L858:Q858),"⚠ Deductions exceed earnings",IF(COUNTIF($A$4:$A$1003,$A858)&gt;1,"⚠ Duplicate ID","✓"))))</f>
      </c>
    </row>
    <row r="859" spans="22:23" x14ac:dyDescent="0.25">
      <c r="V859" s="42">
        <f>IF($B859="","",SUM(L859:Q859)-SUM(R859:U859))</f>
      </c>
      <c r="W859" s="43">
        <f>IF($B859="","",IF(L859="","⚠ Basic salary missing",IF(SUM(R859:U859)&gt;SUM(L859:Q859),"⚠ Deductions exceed earnings",IF(COUNTIF($A$4:$A$1003,$A859)&gt;1,"⚠ Duplicate ID","✓"))))</f>
      </c>
    </row>
    <row r="860" spans="22:23" x14ac:dyDescent="0.25">
      <c r="V860" s="42">
        <f>IF($B860="","",SUM(L860:Q860)-SUM(R860:U860))</f>
      </c>
      <c r="W860" s="43">
        <f>IF($B860="","",IF(L860="","⚠ Basic salary missing",IF(SUM(R860:U860)&gt;SUM(L860:Q860),"⚠ Deductions exceed earnings",IF(COUNTIF($A$4:$A$1003,$A860)&gt;1,"⚠ Duplicate ID","✓"))))</f>
      </c>
    </row>
    <row r="861" spans="22:23" x14ac:dyDescent="0.25">
      <c r="V861" s="42">
        <f>IF($B861="","",SUM(L861:Q861)-SUM(R861:U861))</f>
      </c>
      <c r="W861" s="43">
        <f>IF($B861="","",IF(L861="","⚠ Basic salary missing",IF(SUM(R861:U861)&gt;SUM(L861:Q861),"⚠ Deductions exceed earnings",IF(COUNTIF($A$4:$A$1003,$A861)&gt;1,"⚠ Duplicate ID","✓"))))</f>
      </c>
    </row>
    <row r="862" spans="22:23" x14ac:dyDescent="0.25">
      <c r="V862" s="42">
        <f>IF($B862="","",SUM(L862:Q862)-SUM(R862:U862))</f>
      </c>
      <c r="W862" s="43">
        <f>IF($B862="","",IF(L862="","⚠ Basic salary missing",IF(SUM(R862:U862)&gt;SUM(L862:Q862),"⚠ Deductions exceed earnings",IF(COUNTIF($A$4:$A$1003,$A862)&gt;1,"⚠ Duplicate ID","✓"))))</f>
      </c>
    </row>
    <row r="863" spans="22:23" x14ac:dyDescent="0.25">
      <c r="V863" s="42">
        <f>IF($B863="","",SUM(L863:Q863)-SUM(R863:U863))</f>
      </c>
      <c r="W863" s="43">
        <f>IF($B863="","",IF(L863="","⚠ Basic salary missing",IF(SUM(R863:U863)&gt;SUM(L863:Q863),"⚠ Deductions exceed earnings",IF(COUNTIF($A$4:$A$1003,$A863)&gt;1,"⚠ Duplicate ID","✓"))))</f>
      </c>
    </row>
    <row r="864" spans="22:23" x14ac:dyDescent="0.25">
      <c r="V864" s="42">
        <f>IF($B864="","",SUM(L864:Q864)-SUM(R864:U864))</f>
      </c>
      <c r="W864" s="43">
        <f>IF($B864="","",IF(L864="","⚠ Basic salary missing",IF(SUM(R864:U864)&gt;SUM(L864:Q864),"⚠ Deductions exceed earnings",IF(COUNTIF($A$4:$A$1003,$A864)&gt;1,"⚠ Duplicate ID","✓"))))</f>
      </c>
    </row>
    <row r="865" spans="22:23" x14ac:dyDescent="0.25">
      <c r="V865" s="42">
        <f>IF($B865="","",SUM(L865:Q865)-SUM(R865:U865))</f>
      </c>
      <c r="W865" s="43">
        <f>IF($B865="","",IF(L865="","⚠ Basic salary missing",IF(SUM(R865:U865)&gt;SUM(L865:Q865),"⚠ Deductions exceed earnings",IF(COUNTIF($A$4:$A$1003,$A865)&gt;1,"⚠ Duplicate ID","✓"))))</f>
      </c>
    </row>
    <row r="866" spans="22:23" x14ac:dyDescent="0.25">
      <c r="V866" s="42">
        <f>IF($B866="","",SUM(L866:Q866)-SUM(R866:U866))</f>
      </c>
      <c r="W866" s="43">
        <f>IF($B866="","",IF(L866="","⚠ Basic salary missing",IF(SUM(R866:U866)&gt;SUM(L866:Q866),"⚠ Deductions exceed earnings",IF(COUNTIF($A$4:$A$1003,$A866)&gt;1,"⚠ Duplicate ID","✓"))))</f>
      </c>
    </row>
    <row r="867" spans="22:23" x14ac:dyDescent="0.25">
      <c r="V867" s="42">
        <f>IF($B867="","",SUM(L867:Q867)-SUM(R867:U867))</f>
      </c>
      <c r="W867" s="43">
        <f>IF($B867="","",IF(L867="","⚠ Basic salary missing",IF(SUM(R867:U867)&gt;SUM(L867:Q867),"⚠ Deductions exceed earnings",IF(COUNTIF($A$4:$A$1003,$A867)&gt;1,"⚠ Duplicate ID","✓"))))</f>
      </c>
    </row>
    <row r="868" spans="22:23" x14ac:dyDescent="0.25">
      <c r="V868" s="42">
        <f>IF($B868="","",SUM(L868:Q868)-SUM(R868:U868))</f>
      </c>
      <c r="W868" s="43">
        <f>IF($B868="","",IF(L868="","⚠ Basic salary missing",IF(SUM(R868:U868)&gt;SUM(L868:Q868),"⚠ Deductions exceed earnings",IF(COUNTIF($A$4:$A$1003,$A868)&gt;1,"⚠ Duplicate ID","✓"))))</f>
      </c>
    </row>
    <row r="869" spans="22:23" x14ac:dyDescent="0.25">
      <c r="V869" s="42">
        <f>IF($B869="","",SUM(L869:Q869)-SUM(R869:U869))</f>
      </c>
      <c r="W869" s="43">
        <f>IF($B869="","",IF(L869="","⚠ Basic salary missing",IF(SUM(R869:U869)&gt;SUM(L869:Q869),"⚠ Deductions exceed earnings",IF(COUNTIF($A$4:$A$1003,$A869)&gt;1,"⚠ Duplicate ID","✓"))))</f>
      </c>
    </row>
    <row r="870" spans="22:23" x14ac:dyDescent="0.25">
      <c r="V870" s="42">
        <f>IF($B870="","",SUM(L870:Q870)-SUM(R870:U870))</f>
      </c>
      <c r="W870" s="43">
        <f>IF($B870="","",IF(L870="","⚠ Basic salary missing",IF(SUM(R870:U870)&gt;SUM(L870:Q870),"⚠ Deductions exceed earnings",IF(COUNTIF($A$4:$A$1003,$A870)&gt;1,"⚠ Duplicate ID","✓"))))</f>
      </c>
    </row>
    <row r="871" spans="22:23" x14ac:dyDescent="0.25">
      <c r="V871" s="42">
        <f>IF($B871="","",SUM(L871:Q871)-SUM(R871:U871))</f>
      </c>
      <c r="W871" s="43">
        <f>IF($B871="","",IF(L871="","⚠ Basic salary missing",IF(SUM(R871:U871)&gt;SUM(L871:Q871),"⚠ Deductions exceed earnings",IF(COUNTIF($A$4:$A$1003,$A871)&gt;1,"⚠ Duplicate ID","✓"))))</f>
      </c>
    </row>
    <row r="872" spans="22:23" x14ac:dyDescent="0.25">
      <c r="V872" s="42">
        <f>IF($B872="","",SUM(L872:Q872)-SUM(R872:U872))</f>
      </c>
      <c r="W872" s="43">
        <f>IF($B872="","",IF(L872="","⚠ Basic salary missing",IF(SUM(R872:U872)&gt;SUM(L872:Q872),"⚠ Deductions exceed earnings",IF(COUNTIF($A$4:$A$1003,$A872)&gt;1,"⚠ Duplicate ID","✓"))))</f>
      </c>
    </row>
    <row r="873" spans="22:23" x14ac:dyDescent="0.25">
      <c r="V873" s="42">
        <f>IF($B873="","",SUM(L873:Q873)-SUM(R873:U873))</f>
      </c>
      <c r="W873" s="43">
        <f>IF($B873="","",IF(L873="","⚠ Basic salary missing",IF(SUM(R873:U873)&gt;SUM(L873:Q873),"⚠ Deductions exceed earnings",IF(COUNTIF($A$4:$A$1003,$A873)&gt;1,"⚠ Duplicate ID","✓"))))</f>
      </c>
    </row>
    <row r="874" spans="22:23" x14ac:dyDescent="0.25">
      <c r="V874" s="42">
        <f>IF($B874="","",SUM(L874:Q874)-SUM(R874:U874))</f>
      </c>
      <c r="W874" s="43">
        <f>IF($B874="","",IF(L874="","⚠ Basic salary missing",IF(SUM(R874:U874)&gt;SUM(L874:Q874),"⚠ Deductions exceed earnings",IF(COUNTIF($A$4:$A$1003,$A874)&gt;1,"⚠ Duplicate ID","✓"))))</f>
      </c>
    </row>
    <row r="875" spans="22:23" x14ac:dyDescent="0.25">
      <c r="V875" s="42">
        <f>IF($B875="","",SUM(L875:Q875)-SUM(R875:U875))</f>
      </c>
      <c r="W875" s="43">
        <f>IF($B875="","",IF(L875="","⚠ Basic salary missing",IF(SUM(R875:U875)&gt;SUM(L875:Q875),"⚠ Deductions exceed earnings",IF(COUNTIF($A$4:$A$1003,$A875)&gt;1,"⚠ Duplicate ID","✓"))))</f>
      </c>
    </row>
    <row r="876" spans="22:23" x14ac:dyDescent="0.25">
      <c r="V876" s="42">
        <f>IF($B876="","",SUM(L876:Q876)-SUM(R876:U876))</f>
      </c>
      <c r="W876" s="43">
        <f>IF($B876="","",IF(L876="","⚠ Basic salary missing",IF(SUM(R876:U876)&gt;SUM(L876:Q876),"⚠ Deductions exceed earnings",IF(COUNTIF($A$4:$A$1003,$A876)&gt;1,"⚠ Duplicate ID","✓"))))</f>
      </c>
    </row>
    <row r="877" spans="22:23" x14ac:dyDescent="0.25">
      <c r="V877" s="42">
        <f>IF($B877="","",SUM(L877:Q877)-SUM(R877:U877))</f>
      </c>
      <c r="W877" s="43">
        <f>IF($B877="","",IF(L877="","⚠ Basic salary missing",IF(SUM(R877:U877)&gt;SUM(L877:Q877),"⚠ Deductions exceed earnings",IF(COUNTIF($A$4:$A$1003,$A877)&gt;1,"⚠ Duplicate ID","✓"))))</f>
      </c>
    </row>
    <row r="878" spans="22:23" x14ac:dyDescent="0.25">
      <c r="V878" s="42">
        <f>IF($B878="","",SUM(L878:Q878)-SUM(R878:U878))</f>
      </c>
      <c r="W878" s="43">
        <f>IF($B878="","",IF(L878="","⚠ Basic salary missing",IF(SUM(R878:U878)&gt;SUM(L878:Q878),"⚠ Deductions exceed earnings",IF(COUNTIF($A$4:$A$1003,$A878)&gt;1,"⚠ Duplicate ID","✓"))))</f>
      </c>
    </row>
    <row r="879" spans="22:23" x14ac:dyDescent="0.25">
      <c r="V879" s="42">
        <f>IF($B879="","",SUM(L879:Q879)-SUM(R879:U879))</f>
      </c>
      <c r="W879" s="43">
        <f>IF($B879="","",IF(L879="","⚠ Basic salary missing",IF(SUM(R879:U879)&gt;SUM(L879:Q879),"⚠ Deductions exceed earnings",IF(COUNTIF($A$4:$A$1003,$A879)&gt;1,"⚠ Duplicate ID","✓"))))</f>
      </c>
    </row>
    <row r="880" spans="22:23" x14ac:dyDescent="0.25">
      <c r="V880" s="42">
        <f>IF($B880="","",SUM(L880:Q880)-SUM(R880:U880))</f>
      </c>
      <c r="W880" s="43">
        <f>IF($B880="","",IF(L880="","⚠ Basic salary missing",IF(SUM(R880:U880)&gt;SUM(L880:Q880),"⚠ Deductions exceed earnings",IF(COUNTIF($A$4:$A$1003,$A880)&gt;1,"⚠ Duplicate ID","✓"))))</f>
      </c>
    </row>
    <row r="881" spans="22:23" x14ac:dyDescent="0.25">
      <c r="V881" s="42">
        <f>IF($B881="","",SUM(L881:Q881)-SUM(R881:U881))</f>
      </c>
      <c r="W881" s="43">
        <f>IF($B881="","",IF(L881="","⚠ Basic salary missing",IF(SUM(R881:U881)&gt;SUM(L881:Q881),"⚠ Deductions exceed earnings",IF(COUNTIF($A$4:$A$1003,$A881)&gt;1,"⚠ Duplicate ID","✓"))))</f>
      </c>
    </row>
    <row r="882" spans="22:23" x14ac:dyDescent="0.25">
      <c r="V882" s="42">
        <f>IF($B882="","",SUM(L882:Q882)-SUM(R882:U882))</f>
      </c>
      <c r="W882" s="43">
        <f>IF($B882="","",IF(L882="","⚠ Basic salary missing",IF(SUM(R882:U882)&gt;SUM(L882:Q882),"⚠ Deductions exceed earnings",IF(COUNTIF($A$4:$A$1003,$A882)&gt;1,"⚠ Duplicate ID","✓"))))</f>
      </c>
    </row>
    <row r="883" spans="22:23" x14ac:dyDescent="0.25">
      <c r="V883" s="42">
        <f>IF($B883="","",SUM(L883:Q883)-SUM(R883:U883))</f>
      </c>
      <c r="W883" s="43">
        <f>IF($B883="","",IF(L883="","⚠ Basic salary missing",IF(SUM(R883:U883)&gt;SUM(L883:Q883),"⚠ Deductions exceed earnings",IF(COUNTIF($A$4:$A$1003,$A883)&gt;1,"⚠ Duplicate ID","✓"))))</f>
      </c>
    </row>
    <row r="884" spans="22:23" x14ac:dyDescent="0.25">
      <c r="V884" s="42">
        <f>IF($B884="","",SUM(L884:Q884)-SUM(R884:U884))</f>
      </c>
      <c r="W884" s="43">
        <f>IF($B884="","",IF(L884="","⚠ Basic salary missing",IF(SUM(R884:U884)&gt;SUM(L884:Q884),"⚠ Deductions exceed earnings",IF(COUNTIF($A$4:$A$1003,$A884)&gt;1,"⚠ Duplicate ID","✓"))))</f>
      </c>
    </row>
    <row r="885" spans="22:23" x14ac:dyDescent="0.25">
      <c r="V885" s="42">
        <f>IF($B885="","",SUM(L885:Q885)-SUM(R885:U885))</f>
      </c>
      <c r="W885" s="43">
        <f>IF($B885="","",IF(L885="","⚠ Basic salary missing",IF(SUM(R885:U885)&gt;SUM(L885:Q885),"⚠ Deductions exceed earnings",IF(COUNTIF($A$4:$A$1003,$A885)&gt;1,"⚠ Duplicate ID","✓"))))</f>
      </c>
    </row>
    <row r="886" spans="22:23" x14ac:dyDescent="0.25">
      <c r="V886" s="42">
        <f>IF($B886="","",SUM(L886:Q886)-SUM(R886:U886))</f>
      </c>
      <c r="W886" s="43">
        <f>IF($B886="","",IF(L886="","⚠ Basic salary missing",IF(SUM(R886:U886)&gt;SUM(L886:Q886),"⚠ Deductions exceed earnings",IF(COUNTIF($A$4:$A$1003,$A886)&gt;1,"⚠ Duplicate ID","✓"))))</f>
      </c>
    </row>
    <row r="887" spans="22:23" x14ac:dyDescent="0.25">
      <c r="V887" s="42">
        <f>IF($B887="","",SUM(L887:Q887)-SUM(R887:U887))</f>
      </c>
      <c r="W887" s="43">
        <f>IF($B887="","",IF(L887="","⚠ Basic salary missing",IF(SUM(R887:U887)&gt;SUM(L887:Q887),"⚠ Deductions exceed earnings",IF(COUNTIF($A$4:$A$1003,$A887)&gt;1,"⚠ Duplicate ID","✓"))))</f>
      </c>
    </row>
    <row r="888" spans="22:23" x14ac:dyDescent="0.25">
      <c r="V888" s="42">
        <f>IF($B888="","",SUM(L888:Q888)-SUM(R888:U888))</f>
      </c>
      <c r="W888" s="43">
        <f>IF($B888="","",IF(L888="","⚠ Basic salary missing",IF(SUM(R888:U888)&gt;SUM(L888:Q888),"⚠ Deductions exceed earnings",IF(COUNTIF($A$4:$A$1003,$A888)&gt;1,"⚠ Duplicate ID","✓"))))</f>
      </c>
    </row>
    <row r="889" spans="22:23" x14ac:dyDescent="0.25">
      <c r="V889" s="42">
        <f>IF($B889="","",SUM(L889:Q889)-SUM(R889:U889))</f>
      </c>
      <c r="W889" s="43">
        <f>IF($B889="","",IF(L889="","⚠ Basic salary missing",IF(SUM(R889:U889)&gt;SUM(L889:Q889),"⚠ Deductions exceed earnings",IF(COUNTIF($A$4:$A$1003,$A889)&gt;1,"⚠ Duplicate ID","✓"))))</f>
      </c>
    </row>
    <row r="890" spans="22:23" x14ac:dyDescent="0.25">
      <c r="V890" s="42">
        <f>IF($B890="","",SUM(L890:Q890)-SUM(R890:U890))</f>
      </c>
      <c r="W890" s="43">
        <f>IF($B890="","",IF(L890="","⚠ Basic salary missing",IF(SUM(R890:U890)&gt;SUM(L890:Q890),"⚠ Deductions exceed earnings",IF(COUNTIF($A$4:$A$1003,$A890)&gt;1,"⚠ Duplicate ID","✓"))))</f>
      </c>
    </row>
    <row r="891" spans="22:23" x14ac:dyDescent="0.25">
      <c r="V891" s="42">
        <f>IF($B891="","",SUM(L891:Q891)-SUM(R891:U891))</f>
      </c>
      <c r="W891" s="43">
        <f>IF($B891="","",IF(L891="","⚠ Basic salary missing",IF(SUM(R891:U891)&gt;SUM(L891:Q891),"⚠ Deductions exceed earnings",IF(COUNTIF($A$4:$A$1003,$A891)&gt;1,"⚠ Duplicate ID","✓"))))</f>
      </c>
    </row>
    <row r="892" spans="22:23" x14ac:dyDescent="0.25">
      <c r="V892" s="42">
        <f>IF($B892="","",SUM(L892:Q892)-SUM(R892:U892))</f>
      </c>
      <c r="W892" s="43">
        <f>IF($B892="","",IF(L892="","⚠ Basic salary missing",IF(SUM(R892:U892)&gt;SUM(L892:Q892),"⚠ Deductions exceed earnings",IF(COUNTIF($A$4:$A$1003,$A892)&gt;1,"⚠ Duplicate ID","✓"))))</f>
      </c>
    </row>
    <row r="893" spans="22:23" x14ac:dyDescent="0.25">
      <c r="V893" s="42">
        <f>IF($B893="","",SUM(L893:Q893)-SUM(R893:U893))</f>
      </c>
      <c r="W893" s="43">
        <f>IF($B893="","",IF(L893="","⚠ Basic salary missing",IF(SUM(R893:U893)&gt;SUM(L893:Q893),"⚠ Deductions exceed earnings",IF(COUNTIF($A$4:$A$1003,$A893)&gt;1,"⚠ Duplicate ID","✓"))))</f>
      </c>
    </row>
    <row r="894" spans="22:23" x14ac:dyDescent="0.25">
      <c r="V894" s="42">
        <f>IF($B894="","",SUM(L894:Q894)-SUM(R894:U894))</f>
      </c>
      <c r="W894" s="43">
        <f>IF($B894="","",IF(L894="","⚠ Basic salary missing",IF(SUM(R894:U894)&gt;SUM(L894:Q894),"⚠ Deductions exceed earnings",IF(COUNTIF($A$4:$A$1003,$A894)&gt;1,"⚠ Duplicate ID","✓"))))</f>
      </c>
    </row>
    <row r="895" spans="22:23" x14ac:dyDescent="0.25">
      <c r="V895" s="42">
        <f>IF($B895="","",SUM(L895:Q895)-SUM(R895:U895))</f>
      </c>
      <c r="W895" s="43">
        <f>IF($B895="","",IF(L895="","⚠ Basic salary missing",IF(SUM(R895:U895)&gt;SUM(L895:Q895),"⚠ Deductions exceed earnings",IF(COUNTIF($A$4:$A$1003,$A895)&gt;1,"⚠ Duplicate ID","✓"))))</f>
      </c>
    </row>
    <row r="896" spans="22:23" x14ac:dyDescent="0.25">
      <c r="V896" s="42">
        <f>IF($B896="","",SUM(L896:Q896)-SUM(R896:U896))</f>
      </c>
      <c r="W896" s="43">
        <f>IF($B896="","",IF(L896="","⚠ Basic salary missing",IF(SUM(R896:U896)&gt;SUM(L896:Q896),"⚠ Deductions exceed earnings",IF(COUNTIF($A$4:$A$1003,$A896)&gt;1,"⚠ Duplicate ID","✓"))))</f>
      </c>
    </row>
    <row r="897" spans="22:23" x14ac:dyDescent="0.25">
      <c r="V897" s="42">
        <f>IF($B897="","",SUM(L897:Q897)-SUM(R897:U897))</f>
      </c>
      <c r="W897" s="43">
        <f>IF($B897="","",IF(L897="","⚠ Basic salary missing",IF(SUM(R897:U897)&gt;SUM(L897:Q897),"⚠ Deductions exceed earnings",IF(COUNTIF($A$4:$A$1003,$A897)&gt;1,"⚠ Duplicate ID","✓"))))</f>
      </c>
    </row>
    <row r="898" spans="22:23" x14ac:dyDescent="0.25">
      <c r="V898" s="42">
        <f>IF($B898="","",SUM(L898:Q898)-SUM(R898:U898))</f>
      </c>
      <c r="W898" s="43">
        <f>IF($B898="","",IF(L898="","⚠ Basic salary missing",IF(SUM(R898:U898)&gt;SUM(L898:Q898),"⚠ Deductions exceed earnings",IF(COUNTIF($A$4:$A$1003,$A898)&gt;1,"⚠ Duplicate ID","✓"))))</f>
      </c>
    </row>
    <row r="899" spans="22:23" x14ac:dyDescent="0.25">
      <c r="V899" s="42">
        <f>IF($B899="","",SUM(L899:Q899)-SUM(R899:U899))</f>
      </c>
      <c r="W899" s="43">
        <f>IF($B899="","",IF(L899="","⚠ Basic salary missing",IF(SUM(R899:U899)&gt;SUM(L899:Q899),"⚠ Deductions exceed earnings",IF(COUNTIF($A$4:$A$1003,$A899)&gt;1,"⚠ Duplicate ID","✓"))))</f>
      </c>
    </row>
    <row r="900" spans="22:23" x14ac:dyDescent="0.25">
      <c r="V900" s="42">
        <f>IF($B900="","",SUM(L900:Q900)-SUM(R900:U900))</f>
      </c>
      <c r="W900" s="43">
        <f>IF($B900="","",IF(L900="","⚠ Basic salary missing",IF(SUM(R900:U900)&gt;SUM(L900:Q900),"⚠ Deductions exceed earnings",IF(COUNTIF($A$4:$A$1003,$A900)&gt;1,"⚠ Duplicate ID","✓"))))</f>
      </c>
    </row>
    <row r="901" spans="22:23" x14ac:dyDescent="0.25">
      <c r="V901" s="42">
        <f>IF($B901="","",SUM(L901:Q901)-SUM(R901:U901))</f>
      </c>
      <c r="W901" s="43">
        <f>IF($B901="","",IF(L901="","⚠ Basic salary missing",IF(SUM(R901:U901)&gt;SUM(L901:Q901),"⚠ Deductions exceed earnings",IF(COUNTIF($A$4:$A$1003,$A901)&gt;1,"⚠ Duplicate ID","✓"))))</f>
      </c>
    </row>
    <row r="902" spans="22:23" x14ac:dyDescent="0.25">
      <c r="V902" s="42">
        <f>IF($B902="","",SUM(L902:Q902)-SUM(R902:U902))</f>
      </c>
      <c r="W902" s="43">
        <f>IF($B902="","",IF(L902="","⚠ Basic salary missing",IF(SUM(R902:U902)&gt;SUM(L902:Q902),"⚠ Deductions exceed earnings",IF(COUNTIF($A$4:$A$1003,$A902)&gt;1,"⚠ Duplicate ID","✓"))))</f>
      </c>
    </row>
    <row r="903" spans="22:23" x14ac:dyDescent="0.25">
      <c r="V903" s="42">
        <f>IF($B903="","",SUM(L903:Q903)-SUM(R903:U903))</f>
      </c>
      <c r="W903" s="43">
        <f>IF($B903="","",IF(L903="","⚠ Basic salary missing",IF(SUM(R903:U903)&gt;SUM(L903:Q903),"⚠ Deductions exceed earnings",IF(COUNTIF($A$4:$A$1003,$A903)&gt;1,"⚠ Duplicate ID","✓"))))</f>
      </c>
    </row>
    <row r="904" spans="22:23" x14ac:dyDescent="0.25">
      <c r="V904" s="42">
        <f>IF($B904="","",SUM(L904:Q904)-SUM(R904:U904))</f>
      </c>
      <c r="W904" s="43">
        <f>IF($B904="","",IF(L904="","⚠ Basic salary missing",IF(SUM(R904:U904)&gt;SUM(L904:Q904),"⚠ Deductions exceed earnings",IF(COUNTIF($A$4:$A$1003,$A904)&gt;1,"⚠ Duplicate ID","✓"))))</f>
      </c>
    </row>
    <row r="905" spans="22:23" x14ac:dyDescent="0.25">
      <c r="V905" s="42">
        <f>IF($B905="","",SUM(L905:Q905)-SUM(R905:U905))</f>
      </c>
      <c r="W905" s="43">
        <f>IF($B905="","",IF(L905="","⚠ Basic salary missing",IF(SUM(R905:U905)&gt;SUM(L905:Q905),"⚠ Deductions exceed earnings",IF(COUNTIF($A$4:$A$1003,$A905)&gt;1,"⚠ Duplicate ID","✓"))))</f>
      </c>
    </row>
    <row r="906" spans="22:23" x14ac:dyDescent="0.25">
      <c r="V906" s="42">
        <f>IF($B906="","",SUM(L906:Q906)-SUM(R906:U906))</f>
      </c>
      <c r="W906" s="43">
        <f>IF($B906="","",IF(L906="","⚠ Basic salary missing",IF(SUM(R906:U906)&gt;SUM(L906:Q906),"⚠ Deductions exceed earnings",IF(COUNTIF($A$4:$A$1003,$A906)&gt;1,"⚠ Duplicate ID","✓"))))</f>
      </c>
    </row>
    <row r="907" spans="22:23" x14ac:dyDescent="0.25">
      <c r="V907" s="42">
        <f>IF($B907="","",SUM(L907:Q907)-SUM(R907:U907))</f>
      </c>
      <c r="W907" s="43">
        <f>IF($B907="","",IF(L907="","⚠ Basic salary missing",IF(SUM(R907:U907)&gt;SUM(L907:Q907),"⚠ Deductions exceed earnings",IF(COUNTIF($A$4:$A$1003,$A907)&gt;1,"⚠ Duplicate ID","✓"))))</f>
      </c>
    </row>
    <row r="908" spans="22:23" x14ac:dyDescent="0.25">
      <c r="V908" s="42">
        <f>IF($B908="","",SUM(L908:Q908)-SUM(R908:U908))</f>
      </c>
      <c r="W908" s="43">
        <f>IF($B908="","",IF(L908="","⚠ Basic salary missing",IF(SUM(R908:U908)&gt;SUM(L908:Q908),"⚠ Deductions exceed earnings",IF(COUNTIF($A$4:$A$1003,$A908)&gt;1,"⚠ Duplicate ID","✓"))))</f>
      </c>
    </row>
    <row r="909" spans="22:23" x14ac:dyDescent="0.25">
      <c r="V909" s="42">
        <f>IF($B909="","",SUM(L909:Q909)-SUM(R909:U909))</f>
      </c>
      <c r="W909" s="43">
        <f>IF($B909="","",IF(L909="","⚠ Basic salary missing",IF(SUM(R909:U909)&gt;SUM(L909:Q909),"⚠ Deductions exceed earnings",IF(COUNTIF($A$4:$A$1003,$A909)&gt;1,"⚠ Duplicate ID","✓"))))</f>
      </c>
    </row>
    <row r="910" spans="22:23" x14ac:dyDescent="0.25">
      <c r="V910" s="42">
        <f>IF($B910="","",SUM(L910:Q910)-SUM(R910:U910))</f>
      </c>
      <c r="W910" s="43">
        <f>IF($B910="","",IF(L910="","⚠ Basic salary missing",IF(SUM(R910:U910)&gt;SUM(L910:Q910),"⚠ Deductions exceed earnings",IF(COUNTIF($A$4:$A$1003,$A910)&gt;1,"⚠ Duplicate ID","✓"))))</f>
      </c>
    </row>
    <row r="911" spans="22:23" x14ac:dyDescent="0.25">
      <c r="V911" s="42">
        <f>IF($B911="","",SUM(L911:Q911)-SUM(R911:U911))</f>
      </c>
      <c r="W911" s="43">
        <f>IF($B911="","",IF(L911="","⚠ Basic salary missing",IF(SUM(R911:U911)&gt;SUM(L911:Q911),"⚠ Deductions exceed earnings",IF(COUNTIF($A$4:$A$1003,$A911)&gt;1,"⚠ Duplicate ID","✓"))))</f>
      </c>
    </row>
    <row r="912" spans="22:23" x14ac:dyDescent="0.25">
      <c r="V912" s="42">
        <f>IF($B912="","",SUM(L912:Q912)-SUM(R912:U912))</f>
      </c>
      <c r="W912" s="43">
        <f>IF($B912="","",IF(L912="","⚠ Basic salary missing",IF(SUM(R912:U912)&gt;SUM(L912:Q912),"⚠ Deductions exceed earnings",IF(COUNTIF($A$4:$A$1003,$A912)&gt;1,"⚠ Duplicate ID","✓"))))</f>
      </c>
    </row>
    <row r="913" spans="22:23" x14ac:dyDescent="0.25">
      <c r="V913" s="42">
        <f>IF($B913="","",SUM(L913:Q913)-SUM(R913:U913))</f>
      </c>
      <c r="W913" s="43">
        <f>IF($B913="","",IF(L913="","⚠ Basic salary missing",IF(SUM(R913:U913)&gt;SUM(L913:Q913),"⚠ Deductions exceed earnings",IF(COUNTIF($A$4:$A$1003,$A913)&gt;1,"⚠ Duplicate ID","✓"))))</f>
      </c>
    </row>
    <row r="914" spans="22:23" x14ac:dyDescent="0.25">
      <c r="V914" s="42">
        <f>IF($B914="","",SUM(L914:Q914)-SUM(R914:U914))</f>
      </c>
      <c r="W914" s="43">
        <f>IF($B914="","",IF(L914="","⚠ Basic salary missing",IF(SUM(R914:U914)&gt;SUM(L914:Q914),"⚠ Deductions exceed earnings",IF(COUNTIF($A$4:$A$1003,$A914)&gt;1,"⚠ Duplicate ID","✓"))))</f>
      </c>
    </row>
    <row r="915" spans="22:23" x14ac:dyDescent="0.25">
      <c r="V915" s="42">
        <f>IF($B915="","",SUM(L915:Q915)-SUM(R915:U915))</f>
      </c>
      <c r="W915" s="43">
        <f>IF($B915="","",IF(L915="","⚠ Basic salary missing",IF(SUM(R915:U915)&gt;SUM(L915:Q915),"⚠ Deductions exceed earnings",IF(COUNTIF($A$4:$A$1003,$A915)&gt;1,"⚠ Duplicate ID","✓"))))</f>
      </c>
    </row>
    <row r="916" spans="22:23" x14ac:dyDescent="0.25">
      <c r="V916" s="42">
        <f>IF($B916="","",SUM(L916:Q916)-SUM(R916:U916))</f>
      </c>
      <c r="W916" s="43">
        <f>IF($B916="","",IF(L916="","⚠ Basic salary missing",IF(SUM(R916:U916)&gt;SUM(L916:Q916),"⚠ Deductions exceed earnings",IF(COUNTIF($A$4:$A$1003,$A916)&gt;1,"⚠ Duplicate ID","✓"))))</f>
      </c>
    </row>
    <row r="917" spans="22:23" x14ac:dyDescent="0.25">
      <c r="V917" s="42">
        <f>IF($B917="","",SUM(L917:Q917)-SUM(R917:U917))</f>
      </c>
      <c r="W917" s="43">
        <f>IF($B917="","",IF(L917="","⚠ Basic salary missing",IF(SUM(R917:U917)&gt;SUM(L917:Q917),"⚠ Deductions exceed earnings",IF(COUNTIF($A$4:$A$1003,$A917)&gt;1,"⚠ Duplicate ID","✓"))))</f>
      </c>
    </row>
    <row r="918" spans="22:23" x14ac:dyDescent="0.25">
      <c r="V918" s="42">
        <f>IF($B918="","",SUM(L918:Q918)-SUM(R918:U918))</f>
      </c>
      <c r="W918" s="43">
        <f>IF($B918="","",IF(L918="","⚠ Basic salary missing",IF(SUM(R918:U918)&gt;SUM(L918:Q918),"⚠ Deductions exceed earnings",IF(COUNTIF($A$4:$A$1003,$A918)&gt;1,"⚠ Duplicate ID","✓"))))</f>
      </c>
    </row>
    <row r="919" spans="22:23" x14ac:dyDescent="0.25">
      <c r="V919" s="42">
        <f>IF($B919="","",SUM(L919:Q919)-SUM(R919:U919))</f>
      </c>
      <c r="W919" s="43">
        <f>IF($B919="","",IF(L919="","⚠ Basic salary missing",IF(SUM(R919:U919)&gt;SUM(L919:Q919),"⚠ Deductions exceed earnings",IF(COUNTIF($A$4:$A$1003,$A919)&gt;1,"⚠ Duplicate ID","✓"))))</f>
      </c>
    </row>
    <row r="920" spans="22:23" x14ac:dyDescent="0.25">
      <c r="V920" s="42">
        <f>IF($B920="","",SUM(L920:Q920)-SUM(R920:U920))</f>
      </c>
      <c r="W920" s="43">
        <f>IF($B920="","",IF(L920="","⚠ Basic salary missing",IF(SUM(R920:U920)&gt;SUM(L920:Q920),"⚠ Deductions exceed earnings",IF(COUNTIF($A$4:$A$1003,$A920)&gt;1,"⚠ Duplicate ID","✓"))))</f>
      </c>
    </row>
    <row r="921" spans="22:23" x14ac:dyDescent="0.25">
      <c r="V921" s="42">
        <f>IF($B921="","",SUM(L921:Q921)-SUM(R921:U921))</f>
      </c>
      <c r="W921" s="43">
        <f>IF($B921="","",IF(L921="","⚠ Basic salary missing",IF(SUM(R921:U921)&gt;SUM(L921:Q921),"⚠ Deductions exceed earnings",IF(COUNTIF($A$4:$A$1003,$A921)&gt;1,"⚠ Duplicate ID","✓"))))</f>
      </c>
    </row>
    <row r="922" spans="22:23" x14ac:dyDescent="0.25">
      <c r="V922" s="42">
        <f>IF($B922="","",SUM(L922:Q922)-SUM(R922:U922))</f>
      </c>
      <c r="W922" s="43">
        <f>IF($B922="","",IF(L922="","⚠ Basic salary missing",IF(SUM(R922:U922)&gt;SUM(L922:Q922),"⚠ Deductions exceed earnings",IF(COUNTIF($A$4:$A$1003,$A922)&gt;1,"⚠ Duplicate ID","✓"))))</f>
      </c>
    </row>
    <row r="923" spans="22:23" x14ac:dyDescent="0.25">
      <c r="V923" s="42">
        <f>IF($B923="","",SUM(L923:Q923)-SUM(R923:U923))</f>
      </c>
      <c r="W923" s="43">
        <f>IF($B923="","",IF(L923="","⚠ Basic salary missing",IF(SUM(R923:U923)&gt;SUM(L923:Q923),"⚠ Deductions exceed earnings",IF(COUNTIF($A$4:$A$1003,$A923)&gt;1,"⚠ Duplicate ID","✓"))))</f>
      </c>
    </row>
    <row r="924" spans="22:23" x14ac:dyDescent="0.25">
      <c r="V924" s="42">
        <f>IF($B924="","",SUM(L924:Q924)-SUM(R924:U924))</f>
      </c>
      <c r="W924" s="43">
        <f>IF($B924="","",IF(L924="","⚠ Basic salary missing",IF(SUM(R924:U924)&gt;SUM(L924:Q924),"⚠ Deductions exceed earnings",IF(COUNTIF($A$4:$A$1003,$A924)&gt;1,"⚠ Duplicate ID","✓"))))</f>
      </c>
    </row>
    <row r="925" spans="22:23" x14ac:dyDescent="0.25">
      <c r="V925" s="42">
        <f>IF($B925="","",SUM(L925:Q925)-SUM(R925:U925))</f>
      </c>
      <c r="W925" s="43">
        <f>IF($B925="","",IF(L925="","⚠ Basic salary missing",IF(SUM(R925:U925)&gt;SUM(L925:Q925),"⚠ Deductions exceed earnings",IF(COUNTIF($A$4:$A$1003,$A925)&gt;1,"⚠ Duplicate ID","✓"))))</f>
      </c>
    </row>
    <row r="926" spans="22:23" x14ac:dyDescent="0.25">
      <c r="V926" s="42">
        <f>IF($B926="","",SUM(L926:Q926)-SUM(R926:U926))</f>
      </c>
      <c r="W926" s="43">
        <f>IF($B926="","",IF(L926="","⚠ Basic salary missing",IF(SUM(R926:U926)&gt;SUM(L926:Q926),"⚠ Deductions exceed earnings",IF(COUNTIF($A$4:$A$1003,$A926)&gt;1,"⚠ Duplicate ID","✓"))))</f>
      </c>
    </row>
    <row r="927" spans="22:23" x14ac:dyDescent="0.25">
      <c r="V927" s="42">
        <f>IF($B927="","",SUM(L927:Q927)-SUM(R927:U927))</f>
      </c>
      <c r="W927" s="43">
        <f>IF($B927="","",IF(L927="","⚠ Basic salary missing",IF(SUM(R927:U927)&gt;SUM(L927:Q927),"⚠ Deductions exceed earnings",IF(COUNTIF($A$4:$A$1003,$A927)&gt;1,"⚠ Duplicate ID","✓"))))</f>
      </c>
    </row>
    <row r="928" spans="22:23" x14ac:dyDescent="0.25">
      <c r="V928" s="42">
        <f>IF($B928="","",SUM(L928:Q928)-SUM(R928:U928))</f>
      </c>
      <c r="W928" s="43">
        <f>IF($B928="","",IF(L928="","⚠ Basic salary missing",IF(SUM(R928:U928)&gt;SUM(L928:Q928),"⚠ Deductions exceed earnings",IF(COUNTIF($A$4:$A$1003,$A928)&gt;1,"⚠ Duplicate ID","✓"))))</f>
      </c>
    </row>
    <row r="929" spans="22:23" x14ac:dyDescent="0.25">
      <c r="V929" s="42">
        <f>IF($B929="","",SUM(L929:Q929)-SUM(R929:U929))</f>
      </c>
      <c r="W929" s="43">
        <f>IF($B929="","",IF(L929="","⚠ Basic salary missing",IF(SUM(R929:U929)&gt;SUM(L929:Q929),"⚠ Deductions exceed earnings",IF(COUNTIF($A$4:$A$1003,$A929)&gt;1,"⚠ Duplicate ID","✓"))))</f>
      </c>
    </row>
    <row r="930" spans="22:23" x14ac:dyDescent="0.25">
      <c r="V930" s="42">
        <f>IF($B930="","",SUM(L930:Q930)-SUM(R930:U930))</f>
      </c>
      <c r="W930" s="43">
        <f>IF($B930="","",IF(L930="","⚠ Basic salary missing",IF(SUM(R930:U930)&gt;SUM(L930:Q930),"⚠ Deductions exceed earnings",IF(COUNTIF($A$4:$A$1003,$A930)&gt;1,"⚠ Duplicate ID","✓"))))</f>
      </c>
    </row>
    <row r="931" spans="22:23" x14ac:dyDescent="0.25">
      <c r="V931" s="42">
        <f>IF($B931="","",SUM(L931:Q931)-SUM(R931:U931))</f>
      </c>
      <c r="W931" s="43">
        <f>IF($B931="","",IF(L931="","⚠ Basic salary missing",IF(SUM(R931:U931)&gt;SUM(L931:Q931),"⚠ Deductions exceed earnings",IF(COUNTIF($A$4:$A$1003,$A931)&gt;1,"⚠ Duplicate ID","✓"))))</f>
      </c>
    </row>
    <row r="932" spans="22:23" x14ac:dyDescent="0.25">
      <c r="V932" s="42">
        <f>IF($B932="","",SUM(L932:Q932)-SUM(R932:U932))</f>
      </c>
      <c r="W932" s="43">
        <f>IF($B932="","",IF(L932="","⚠ Basic salary missing",IF(SUM(R932:U932)&gt;SUM(L932:Q932),"⚠ Deductions exceed earnings",IF(COUNTIF($A$4:$A$1003,$A932)&gt;1,"⚠ Duplicate ID","✓"))))</f>
      </c>
    </row>
    <row r="933" spans="22:23" x14ac:dyDescent="0.25">
      <c r="V933" s="42">
        <f>IF($B933="","",SUM(L933:Q933)-SUM(R933:U933))</f>
      </c>
      <c r="W933" s="43">
        <f>IF($B933="","",IF(L933="","⚠ Basic salary missing",IF(SUM(R933:U933)&gt;SUM(L933:Q933),"⚠ Deductions exceed earnings",IF(COUNTIF($A$4:$A$1003,$A933)&gt;1,"⚠ Duplicate ID","✓"))))</f>
      </c>
    </row>
    <row r="934" spans="22:23" x14ac:dyDescent="0.25">
      <c r="V934" s="42">
        <f>IF($B934="","",SUM(L934:Q934)-SUM(R934:U934))</f>
      </c>
      <c r="W934" s="43">
        <f>IF($B934="","",IF(L934="","⚠ Basic salary missing",IF(SUM(R934:U934)&gt;SUM(L934:Q934),"⚠ Deductions exceed earnings",IF(COUNTIF($A$4:$A$1003,$A934)&gt;1,"⚠ Duplicate ID","✓"))))</f>
      </c>
    </row>
    <row r="935" spans="22:23" x14ac:dyDescent="0.25">
      <c r="V935" s="42">
        <f>IF($B935="","",SUM(L935:Q935)-SUM(R935:U935))</f>
      </c>
      <c r="W935" s="43">
        <f>IF($B935="","",IF(L935="","⚠ Basic salary missing",IF(SUM(R935:U935)&gt;SUM(L935:Q935),"⚠ Deductions exceed earnings",IF(COUNTIF($A$4:$A$1003,$A935)&gt;1,"⚠ Duplicate ID","✓"))))</f>
      </c>
    </row>
    <row r="936" spans="22:23" x14ac:dyDescent="0.25">
      <c r="V936" s="42">
        <f>IF($B936="","",SUM(L936:Q936)-SUM(R936:U936))</f>
      </c>
      <c r="W936" s="43">
        <f>IF($B936="","",IF(L936="","⚠ Basic salary missing",IF(SUM(R936:U936)&gt;SUM(L936:Q936),"⚠ Deductions exceed earnings",IF(COUNTIF($A$4:$A$1003,$A936)&gt;1,"⚠ Duplicate ID","✓"))))</f>
      </c>
    </row>
    <row r="937" spans="22:23" x14ac:dyDescent="0.25">
      <c r="V937" s="42">
        <f>IF($B937="","",SUM(L937:Q937)-SUM(R937:U937))</f>
      </c>
      <c r="W937" s="43">
        <f>IF($B937="","",IF(L937="","⚠ Basic salary missing",IF(SUM(R937:U937)&gt;SUM(L937:Q937),"⚠ Deductions exceed earnings",IF(COUNTIF($A$4:$A$1003,$A937)&gt;1,"⚠ Duplicate ID","✓"))))</f>
      </c>
    </row>
    <row r="938" spans="22:23" x14ac:dyDescent="0.25">
      <c r="V938" s="42">
        <f>IF($B938="","",SUM(L938:Q938)-SUM(R938:U938))</f>
      </c>
      <c r="W938" s="43">
        <f>IF($B938="","",IF(L938="","⚠ Basic salary missing",IF(SUM(R938:U938)&gt;SUM(L938:Q938),"⚠ Deductions exceed earnings",IF(COUNTIF($A$4:$A$1003,$A938)&gt;1,"⚠ Duplicate ID","✓"))))</f>
      </c>
    </row>
    <row r="939" spans="22:23" x14ac:dyDescent="0.25">
      <c r="V939" s="42">
        <f>IF($B939="","",SUM(L939:Q939)-SUM(R939:U939))</f>
      </c>
      <c r="W939" s="43">
        <f>IF($B939="","",IF(L939="","⚠ Basic salary missing",IF(SUM(R939:U939)&gt;SUM(L939:Q939),"⚠ Deductions exceed earnings",IF(COUNTIF($A$4:$A$1003,$A939)&gt;1,"⚠ Duplicate ID","✓"))))</f>
      </c>
    </row>
    <row r="940" spans="22:23" x14ac:dyDescent="0.25">
      <c r="V940" s="42">
        <f>IF($B940="","",SUM(L940:Q940)-SUM(R940:U940))</f>
      </c>
      <c r="W940" s="43">
        <f>IF($B940="","",IF(L940="","⚠ Basic salary missing",IF(SUM(R940:U940)&gt;SUM(L940:Q940),"⚠ Deductions exceed earnings",IF(COUNTIF($A$4:$A$1003,$A940)&gt;1,"⚠ Duplicate ID","✓"))))</f>
      </c>
    </row>
    <row r="941" spans="22:23" x14ac:dyDescent="0.25">
      <c r="V941" s="42">
        <f>IF($B941="","",SUM(L941:Q941)-SUM(R941:U941))</f>
      </c>
      <c r="W941" s="43">
        <f>IF($B941="","",IF(L941="","⚠ Basic salary missing",IF(SUM(R941:U941)&gt;SUM(L941:Q941),"⚠ Deductions exceed earnings",IF(COUNTIF($A$4:$A$1003,$A941)&gt;1,"⚠ Duplicate ID","✓"))))</f>
      </c>
    </row>
    <row r="942" spans="22:23" x14ac:dyDescent="0.25">
      <c r="V942" s="42">
        <f>IF($B942="","",SUM(L942:Q942)-SUM(R942:U942))</f>
      </c>
      <c r="W942" s="43">
        <f>IF($B942="","",IF(L942="","⚠ Basic salary missing",IF(SUM(R942:U942)&gt;SUM(L942:Q942),"⚠ Deductions exceed earnings",IF(COUNTIF($A$4:$A$1003,$A942)&gt;1,"⚠ Duplicate ID","✓"))))</f>
      </c>
    </row>
    <row r="943" spans="22:23" x14ac:dyDescent="0.25">
      <c r="V943" s="42">
        <f>IF($B943="","",SUM(L943:Q943)-SUM(R943:U943))</f>
      </c>
      <c r="W943" s="43">
        <f>IF($B943="","",IF(L943="","⚠ Basic salary missing",IF(SUM(R943:U943)&gt;SUM(L943:Q943),"⚠ Deductions exceed earnings",IF(COUNTIF($A$4:$A$1003,$A943)&gt;1,"⚠ Duplicate ID","✓"))))</f>
      </c>
    </row>
    <row r="944" spans="22:23" x14ac:dyDescent="0.25">
      <c r="V944" s="42">
        <f>IF($B944="","",SUM(L944:Q944)-SUM(R944:U944))</f>
      </c>
      <c r="W944" s="43">
        <f>IF($B944="","",IF(L944="","⚠ Basic salary missing",IF(SUM(R944:U944)&gt;SUM(L944:Q944),"⚠ Deductions exceed earnings",IF(COUNTIF($A$4:$A$1003,$A944)&gt;1,"⚠ Duplicate ID","✓"))))</f>
      </c>
    </row>
    <row r="945" spans="22:23" x14ac:dyDescent="0.25">
      <c r="V945" s="42">
        <f>IF($B945="","",SUM(L945:Q945)-SUM(R945:U945))</f>
      </c>
      <c r="W945" s="43">
        <f>IF($B945="","",IF(L945="","⚠ Basic salary missing",IF(SUM(R945:U945)&gt;SUM(L945:Q945),"⚠ Deductions exceed earnings",IF(COUNTIF($A$4:$A$1003,$A945)&gt;1,"⚠ Duplicate ID","✓"))))</f>
      </c>
    </row>
    <row r="946" spans="22:23" x14ac:dyDescent="0.25">
      <c r="V946" s="42">
        <f>IF($B946="","",SUM(L946:Q946)-SUM(R946:U946))</f>
      </c>
      <c r="W946" s="43">
        <f>IF($B946="","",IF(L946="","⚠ Basic salary missing",IF(SUM(R946:U946)&gt;SUM(L946:Q946),"⚠ Deductions exceed earnings",IF(COUNTIF($A$4:$A$1003,$A946)&gt;1,"⚠ Duplicate ID","✓"))))</f>
      </c>
    </row>
    <row r="947" spans="22:23" x14ac:dyDescent="0.25">
      <c r="V947" s="42">
        <f>IF($B947="","",SUM(L947:Q947)-SUM(R947:U947))</f>
      </c>
      <c r="W947" s="43">
        <f>IF($B947="","",IF(L947="","⚠ Basic salary missing",IF(SUM(R947:U947)&gt;SUM(L947:Q947),"⚠ Deductions exceed earnings",IF(COUNTIF($A$4:$A$1003,$A947)&gt;1,"⚠ Duplicate ID","✓"))))</f>
      </c>
    </row>
    <row r="948" spans="22:23" x14ac:dyDescent="0.25">
      <c r="V948" s="42">
        <f>IF($B948="","",SUM(L948:Q948)-SUM(R948:U948))</f>
      </c>
      <c r="W948" s="43">
        <f>IF($B948="","",IF(L948="","⚠ Basic salary missing",IF(SUM(R948:U948)&gt;SUM(L948:Q948),"⚠ Deductions exceed earnings",IF(COUNTIF($A$4:$A$1003,$A948)&gt;1,"⚠ Duplicate ID","✓"))))</f>
      </c>
    </row>
    <row r="949" spans="22:23" x14ac:dyDescent="0.25">
      <c r="V949" s="42">
        <f>IF($B949="","",SUM(L949:Q949)-SUM(R949:U949))</f>
      </c>
      <c r="W949" s="43">
        <f>IF($B949="","",IF(L949="","⚠ Basic salary missing",IF(SUM(R949:U949)&gt;SUM(L949:Q949),"⚠ Deductions exceed earnings",IF(COUNTIF($A$4:$A$1003,$A949)&gt;1,"⚠ Duplicate ID","✓"))))</f>
      </c>
    </row>
    <row r="950" spans="22:23" x14ac:dyDescent="0.25">
      <c r="V950" s="42">
        <f>IF($B950="","",SUM(L950:Q950)-SUM(R950:U950))</f>
      </c>
      <c r="W950" s="43">
        <f>IF($B950="","",IF(L950="","⚠ Basic salary missing",IF(SUM(R950:U950)&gt;SUM(L950:Q950),"⚠ Deductions exceed earnings",IF(COUNTIF($A$4:$A$1003,$A950)&gt;1,"⚠ Duplicate ID","✓"))))</f>
      </c>
    </row>
    <row r="951" spans="22:23" x14ac:dyDescent="0.25">
      <c r="V951" s="42">
        <f>IF($B951="","",SUM(L951:Q951)-SUM(R951:U951))</f>
      </c>
      <c r="W951" s="43">
        <f>IF($B951="","",IF(L951="","⚠ Basic salary missing",IF(SUM(R951:U951)&gt;SUM(L951:Q951),"⚠ Deductions exceed earnings",IF(COUNTIF($A$4:$A$1003,$A951)&gt;1,"⚠ Duplicate ID","✓"))))</f>
      </c>
    </row>
    <row r="952" spans="22:23" x14ac:dyDescent="0.25">
      <c r="V952" s="42">
        <f>IF($B952="","",SUM(L952:Q952)-SUM(R952:U952))</f>
      </c>
      <c r="W952" s="43">
        <f>IF($B952="","",IF(L952="","⚠ Basic salary missing",IF(SUM(R952:U952)&gt;SUM(L952:Q952),"⚠ Deductions exceed earnings",IF(COUNTIF($A$4:$A$1003,$A952)&gt;1,"⚠ Duplicate ID","✓"))))</f>
      </c>
    </row>
    <row r="953" spans="22:23" x14ac:dyDescent="0.25">
      <c r="V953" s="42">
        <f>IF($B953="","",SUM(L953:Q953)-SUM(R953:U953))</f>
      </c>
      <c r="W953" s="43">
        <f>IF($B953="","",IF(L953="","⚠ Basic salary missing",IF(SUM(R953:U953)&gt;SUM(L953:Q953),"⚠ Deductions exceed earnings",IF(COUNTIF($A$4:$A$1003,$A953)&gt;1,"⚠ Duplicate ID","✓"))))</f>
      </c>
    </row>
    <row r="954" spans="22:23" x14ac:dyDescent="0.25">
      <c r="V954" s="42">
        <f>IF($B954="","",SUM(L954:Q954)-SUM(R954:U954))</f>
      </c>
      <c r="W954" s="43">
        <f>IF($B954="","",IF(L954="","⚠ Basic salary missing",IF(SUM(R954:U954)&gt;SUM(L954:Q954),"⚠ Deductions exceed earnings",IF(COUNTIF($A$4:$A$1003,$A954)&gt;1,"⚠ Duplicate ID","✓"))))</f>
      </c>
    </row>
    <row r="955" spans="22:23" x14ac:dyDescent="0.25">
      <c r="V955" s="42">
        <f>IF($B955="","",SUM(L955:Q955)-SUM(R955:U955))</f>
      </c>
      <c r="W955" s="43">
        <f>IF($B955="","",IF(L955="","⚠ Basic salary missing",IF(SUM(R955:U955)&gt;SUM(L955:Q955),"⚠ Deductions exceed earnings",IF(COUNTIF($A$4:$A$1003,$A955)&gt;1,"⚠ Duplicate ID","✓"))))</f>
      </c>
    </row>
    <row r="956" spans="22:23" x14ac:dyDescent="0.25">
      <c r="V956" s="42">
        <f>IF($B956="","",SUM(L956:Q956)-SUM(R956:U956))</f>
      </c>
      <c r="W956" s="43">
        <f>IF($B956="","",IF(L956="","⚠ Basic salary missing",IF(SUM(R956:U956)&gt;SUM(L956:Q956),"⚠ Deductions exceed earnings",IF(COUNTIF($A$4:$A$1003,$A956)&gt;1,"⚠ Duplicate ID","✓"))))</f>
      </c>
    </row>
    <row r="957" spans="22:23" x14ac:dyDescent="0.25">
      <c r="V957" s="42">
        <f>IF($B957="","",SUM(L957:Q957)-SUM(R957:U957))</f>
      </c>
      <c r="W957" s="43">
        <f>IF($B957="","",IF(L957="","⚠ Basic salary missing",IF(SUM(R957:U957)&gt;SUM(L957:Q957),"⚠ Deductions exceed earnings",IF(COUNTIF($A$4:$A$1003,$A957)&gt;1,"⚠ Duplicate ID","✓"))))</f>
      </c>
    </row>
    <row r="958" spans="22:23" x14ac:dyDescent="0.25">
      <c r="V958" s="42">
        <f>IF($B958="","",SUM(L958:Q958)-SUM(R958:U958))</f>
      </c>
      <c r="W958" s="43">
        <f>IF($B958="","",IF(L958="","⚠ Basic salary missing",IF(SUM(R958:U958)&gt;SUM(L958:Q958),"⚠ Deductions exceed earnings",IF(COUNTIF($A$4:$A$1003,$A958)&gt;1,"⚠ Duplicate ID","✓"))))</f>
      </c>
    </row>
    <row r="959" spans="22:23" x14ac:dyDescent="0.25">
      <c r="V959" s="42">
        <f>IF($B959="","",SUM(L959:Q959)-SUM(R959:U959))</f>
      </c>
      <c r="W959" s="43">
        <f>IF($B959="","",IF(L959="","⚠ Basic salary missing",IF(SUM(R959:U959)&gt;SUM(L959:Q959),"⚠ Deductions exceed earnings",IF(COUNTIF($A$4:$A$1003,$A959)&gt;1,"⚠ Duplicate ID","✓"))))</f>
      </c>
    </row>
    <row r="960" spans="22:23" x14ac:dyDescent="0.25">
      <c r="V960" s="42">
        <f>IF($B960="","",SUM(L960:Q960)-SUM(R960:U960))</f>
      </c>
      <c r="W960" s="43">
        <f>IF($B960="","",IF(L960="","⚠ Basic salary missing",IF(SUM(R960:U960)&gt;SUM(L960:Q960),"⚠ Deductions exceed earnings",IF(COUNTIF($A$4:$A$1003,$A960)&gt;1,"⚠ Duplicate ID","✓"))))</f>
      </c>
    </row>
    <row r="961" spans="22:23" x14ac:dyDescent="0.25">
      <c r="V961" s="42">
        <f>IF($B961="","",SUM(L961:Q961)-SUM(R961:U961))</f>
      </c>
      <c r="W961" s="43">
        <f>IF($B961="","",IF(L961="","⚠ Basic salary missing",IF(SUM(R961:U961)&gt;SUM(L961:Q961),"⚠ Deductions exceed earnings",IF(COUNTIF($A$4:$A$1003,$A961)&gt;1,"⚠ Duplicate ID","✓"))))</f>
      </c>
    </row>
    <row r="962" spans="22:23" x14ac:dyDescent="0.25">
      <c r="V962" s="42">
        <f>IF($B962="","",SUM(L962:Q962)-SUM(R962:U962))</f>
      </c>
      <c r="W962" s="43">
        <f>IF($B962="","",IF(L962="","⚠ Basic salary missing",IF(SUM(R962:U962)&gt;SUM(L962:Q962),"⚠ Deductions exceed earnings",IF(COUNTIF($A$4:$A$1003,$A962)&gt;1,"⚠ Duplicate ID","✓"))))</f>
      </c>
    </row>
    <row r="963" spans="22:23" x14ac:dyDescent="0.25">
      <c r="V963" s="42">
        <f>IF($B963="","",SUM(L963:Q963)-SUM(R963:U963))</f>
      </c>
      <c r="W963" s="43">
        <f>IF($B963="","",IF(L963="","⚠ Basic salary missing",IF(SUM(R963:U963)&gt;SUM(L963:Q963),"⚠ Deductions exceed earnings",IF(COUNTIF($A$4:$A$1003,$A963)&gt;1,"⚠ Duplicate ID","✓"))))</f>
      </c>
    </row>
    <row r="964" spans="22:23" x14ac:dyDescent="0.25">
      <c r="V964" s="42">
        <f>IF($B964="","",SUM(L964:Q964)-SUM(R964:U964))</f>
      </c>
      <c r="W964" s="43">
        <f>IF($B964="","",IF(L964="","⚠ Basic salary missing",IF(SUM(R964:U964)&gt;SUM(L964:Q964),"⚠ Deductions exceed earnings",IF(COUNTIF($A$4:$A$1003,$A964)&gt;1,"⚠ Duplicate ID","✓"))))</f>
      </c>
    </row>
    <row r="965" spans="22:23" x14ac:dyDescent="0.25">
      <c r="V965" s="42">
        <f>IF($B965="","",SUM(L965:Q965)-SUM(R965:U965))</f>
      </c>
      <c r="W965" s="43">
        <f>IF($B965="","",IF(L965="","⚠ Basic salary missing",IF(SUM(R965:U965)&gt;SUM(L965:Q965),"⚠ Deductions exceed earnings",IF(COUNTIF($A$4:$A$1003,$A965)&gt;1,"⚠ Duplicate ID","✓"))))</f>
      </c>
    </row>
    <row r="966" spans="22:23" x14ac:dyDescent="0.25">
      <c r="V966" s="42">
        <f>IF($B966="","",SUM(L966:Q966)-SUM(R966:U966))</f>
      </c>
      <c r="W966" s="43">
        <f>IF($B966="","",IF(L966="","⚠ Basic salary missing",IF(SUM(R966:U966)&gt;SUM(L966:Q966),"⚠ Deductions exceed earnings",IF(COUNTIF($A$4:$A$1003,$A966)&gt;1,"⚠ Duplicate ID","✓"))))</f>
      </c>
    </row>
    <row r="967" spans="22:23" x14ac:dyDescent="0.25">
      <c r="V967" s="42">
        <f>IF($B967="","",SUM(L967:Q967)-SUM(R967:U967))</f>
      </c>
      <c r="W967" s="43">
        <f>IF($B967="","",IF(L967="","⚠ Basic salary missing",IF(SUM(R967:U967)&gt;SUM(L967:Q967),"⚠ Deductions exceed earnings",IF(COUNTIF($A$4:$A$1003,$A967)&gt;1,"⚠ Duplicate ID","✓"))))</f>
      </c>
    </row>
    <row r="968" spans="22:23" x14ac:dyDescent="0.25">
      <c r="V968" s="42">
        <f>IF($B968="","",SUM(L968:Q968)-SUM(R968:U968))</f>
      </c>
      <c r="W968" s="43">
        <f>IF($B968="","",IF(L968="","⚠ Basic salary missing",IF(SUM(R968:U968)&gt;SUM(L968:Q968),"⚠ Deductions exceed earnings",IF(COUNTIF($A$4:$A$1003,$A968)&gt;1,"⚠ Duplicate ID","✓"))))</f>
      </c>
    </row>
    <row r="969" spans="22:23" x14ac:dyDescent="0.25">
      <c r="V969" s="42">
        <f>IF($B969="","",SUM(L969:Q969)-SUM(R969:U969))</f>
      </c>
      <c r="W969" s="43">
        <f>IF($B969="","",IF(L969="","⚠ Basic salary missing",IF(SUM(R969:U969)&gt;SUM(L969:Q969),"⚠ Deductions exceed earnings",IF(COUNTIF($A$4:$A$1003,$A969)&gt;1,"⚠ Duplicate ID","✓"))))</f>
      </c>
    </row>
    <row r="970" spans="22:23" x14ac:dyDescent="0.25">
      <c r="V970" s="42">
        <f>IF($B970="","",SUM(L970:Q970)-SUM(R970:U970))</f>
      </c>
      <c r="W970" s="43">
        <f>IF($B970="","",IF(L970="","⚠ Basic salary missing",IF(SUM(R970:U970)&gt;SUM(L970:Q970),"⚠ Deductions exceed earnings",IF(COUNTIF($A$4:$A$1003,$A970)&gt;1,"⚠ Duplicate ID","✓"))))</f>
      </c>
    </row>
    <row r="971" spans="22:23" x14ac:dyDescent="0.25">
      <c r="V971" s="42">
        <f>IF($B971="","",SUM(L971:Q971)-SUM(R971:U971))</f>
      </c>
      <c r="W971" s="43">
        <f>IF($B971="","",IF(L971="","⚠ Basic salary missing",IF(SUM(R971:U971)&gt;SUM(L971:Q971),"⚠ Deductions exceed earnings",IF(COUNTIF($A$4:$A$1003,$A971)&gt;1,"⚠ Duplicate ID","✓"))))</f>
      </c>
    </row>
    <row r="972" spans="22:23" x14ac:dyDescent="0.25">
      <c r="V972" s="42">
        <f>IF($B972="","",SUM(L972:Q972)-SUM(R972:U972))</f>
      </c>
      <c r="W972" s="43">
        <f>IF($B972="","",IF(L972="","⚠ Basic salary missing",IF(SUM(R972:U972)&gt;SUM(L972:Q972),"⚠ Deductions exceed earnings",IF(COUNTIF($A$4:$A$1003,$A972)&gt;1,"⚠ Duplicate ID","✓"))))</f>
      </c>
    </row>
    <row r="973" spans="22:23" x14ac:dyDescent="0.25">
      <c r="V973" s="42">
        <f>IF($B973="","",SUM(L973:Q973)-SUM(R973:U973))</f>
      </c>
      <c r="W973" s="43">
        <f>IF($B973="","",IF(L973="","⚠ Basic salary missing",IF(SUM(R973:U973)&gt;SUM(L973:Q973),"⚠ Deductions exceed earnings",IF(COUNTIF($A$4:$A$1003,$A973)&gt;1,"⚠ Duplicate ID","✓"))))</f>
      </c>
    </row>
    <row r="974" spans="22:23" x14ac:dyDescent="0.25">
      <c r="V974" s="42">
        <f>IF($B974="","",SUM(L974:Q974)-SUM(R974:U974))</f>
      </c>
      <c r="W974" s="43">
        <f>IF($B974="","",IF(L974="","⚠ Basic salary missing",IF(SUM(R974:U974)&gt;SUM(L974:Q974),"⚠ Deductions exceed earnings",IF(COUNTIF($A$4:$A$1003,$A974)&gt;1,"⚠ Duplicate ID","✓"))))</f>
      </c>
    </row>
    <row r="975" spans="22:23" x14ac:dyDescent="0.25">
      <c r="V975" s="42">
        <f>IF($B975="","",SUM(L975:Q975)-SUM(R975:U975))</f>
      </c>
      <c r="W975" s="43">
        <f>IF($B975="","",IF(L975="","⚠ Basic salary missing",IF(SUM(R975:U975)&gt;SUM(L975:Q975),"⚠ Deductions exceed earnings",IF(COUNTIF($A$4:$A$1003,$A975)&gt;1,"⚠ Duplicate ID","✓"))))</f>
      </c>
    </row>
    <row r="976" spans="22:23" x14ac:dyDescent="0.25">
      <c r="V976" s="42">
        <f>IF($B976="","",SUM(L976:Q976)-SUM(R976:U976))</f>
      </c>
      <c r="W976" s="43">
        <f>IF($B976="","",IF(L976="","⚠ Basic salary missing",IF(SUM(R976:U976)&gt;SUM(L976:Q976),"⚠ Deductions exceed earnings",IF(COUNTIF($A$4:$A$1003,$A976)&gt;1,"⚠ Duplicate ID","✓"))))</f>
      </c>
    </row>
    <row r="977" spans="22:23" x14ac:dyDescent="0.25">
      <c r="V977" s="42">
        <f>IF($B977="","",SUM(L977:Q977)-SUM(R977:U977))</f>
      </c>
      <c r="W977" s="43">
        <f>IF($B977="","",IF(L977="","⚠ Basic salary missing",IF(SUM(R977:U977)&gt;SUM(L977:Q977),"⚠ Deductions exceed earnings",IF(COUNTIF($A$4:$A$1003,$A977)&gt;1,"⚠ Duplicate ID","✓"))))</f>
      </c>
    </row>
    <row r="978" spans="22:23" x14ac:dyDescent="0.25">
      <c r="V978" s="42">
        <f>IF($B978="","",SUM(L978:Q978)-SUM(R978:U978))</f>
      </c>
      <c r="W978" s="43">
        <f>IF($B978="","",IF(L978="","⚠ Basic salary missing",IF(SUM(R978:U978)&gt;SUM(L978:Q978),"⚠ Deductions exceed earnings",IF(COUNTIF($A$4:$A$1003,$A978)&gt;1,"⚠ Duplicate ID","✓"))))</f>
      </c>
    </row>
    <row r="979" spans="22:23" x14ac:dyDescent="0.25">
      <c r="V979" s="42">
        <f>IF($B979="","",SUM(L979:Q979)-SUM(R979:U979))</f>
      </c>
      <c r="W979" s="43">
        <f>IF($B979="","",IF(L979="","⚠ Basic salary missing",IF(SUM(R979:U979)&gt;SUM(L979:Q979),"⚠ Deductions exceed earnings",IF(COUNTIF($A$4:$A$1003,$A979)&gt;1,"⚠ Duplicate ID","✓"))))</f>
      </c>
    </row>
    <row r="980" spans="22:23" x14ac:dyDescent="0.25">
      <c r="V980" s="42">
        <f>IF($B980="","",SUM(L980:Q980)-SUM(R980:U980))</f>
      </c>
      <c r="W980" s="43">
        <f>IF($B980="","",IF(L980="","⚠ Basic salary missing",IF(SUM(R980:U980)&gt;SUM(L980:Q980),"⚠ Deductions exceed earnings",IF(COUNTIF($A$4:$A$1003,$A980)&gt;1,"⚠ Duplicate ID","✓"))))</f>
      </c>
    </row>
    <row r="981" spans="22:23" x14ac:dyDescent="0.25">
      <c r="V981" s="42">
        <f>IF($B981="","",SUM(L981:Q981)-SUM(R981:U981))</f>
      </c>
      <c r="W981" s="43">
        <f>IF($B981="","",IF(L981="","⚠ Basic salary missing",IF(SUM(R981:U981)&gt;SUM(L981:Q981),"⚠ Deductions exceed earnings",IF(COUNTIF($A$4:$A$1003,$A981)&gt;1,"⚠ Duplicate ID","✓"))))</f>
      </c>
    </row>
    <row r="982" spans="22:23" x14ac:dyDescent="0.25">
      <c r="V982" s="42">
        <f>IF($B982="","",SUM(L982:Q982)-SUM(R982:U982))</f>
      </c>
      <c r="W982" s="43">
        <f>IF($B982="","",IF(L982="","⚠ Basic salary missing",IF(SUM(R982:U982)&gt;SUM(L982:Q982),"⚠ Deductions exceed earnings",IF(COUNTIF($A$4:$A$1003,$A982)&gt;1,"⚠ Duplicate ID","✓"))))</f>
      </c>
    </row>
    <row r="983" spans="22:23" x14ac:dyDescent="0.25">
      <c r="V983" s="42">
        <f>IF($B983="","",SUM(L983:Q983)-SUM(R983:U983))</f>
      </c>
      <c r="W983" s="43">
        <f>IF($B983="","",IF(L983="","⚠ Basic salary missing",IF(SUM(R983:U983)&gt;SUM(L983:Q983),"⚠ Deductions exceed earnings",IF(COUNTIF($A$4:$A$1003,$A983)&gt;1,"⚠ Duplicate ID","✓"))))</f>
      </c>
    </row>
    <row r="984" spans="22:23" x14ac:dyDescent="0.25">
      <c r="V984" s="42">
        <f>IF($B984="","",SUM(L984:Q984)-SUM(R984:U984))</f>
      </c>
      <c r="W984" s="43">
        <f>IF($B984="","",IF(L984="","⚠ Basic salary missing",IF(SUM(R984:U984)&gt;SUM(L984:Q984),"⚠ Deductions exceed earnings",IF(COUNTIF($A$4:$A$1003,$A984)&gt;1,"⚠ Duplicate ID","✓"))))</f>
      </c>
    </row>
    <row r="985" spans="22:23" x14ac:dyDescent="0.25">
      <c r="V985" s="42">
        <f>IF($B985="","",SUM(L985:Q985)-SUM(R985:U985))</f>
      </c>
      <c r="W985" s="43">
        <f>IF($B985="","",IF(L985="","⚠ Basic salary missing",IF(SUM(R985:U985)&gt;SUM(L985:Q985),"⚠ Deductions exceed earnings",IF(COUNTIF($A$4:$A$1003,$A985)&gt;1,"⚠ Duplicate ID","✓"))))</f>
      </c>
    </row>
    <row r="986" spans="22:23" x14ac:dyDescent="0.25">
      <c r="V986" s="42">
        <f>IF($B986="","",SUM(L986:Q986)-SUM(R986:U986))</f>
      </c>
      <c r="W986" s="43">
        <f>IF($B986="","",IF(L986="","⚠ Basic salary missing",IF(SUM(R986:U986)&gt;SUM(L986:Q986),"⚠ Deductions exceed earnings",IF(COUNTIF($A$4:$A$1003,$A986)&gt;1,"⚠ Duplicate ID","✓"))))</f>
      </c>
    </row>
    <row r="987" spans="22:23" x14ac:dyDescent="0.25">
      <c r="V987" s="42">
        <f>IF($B987="","",SUM(L987:Q987)-SUM(R987:U987))</f>
      </c>
      <c r="W987" s="43">
        <f>IF($B987="","",IF(L987="","⚠ Basic salary missing",IF(SUM(R987:U987)&gt;SUM(L987:Q987),"⚠ Deductions exceed earnings",IF(COUNTIF($A$4:$A$1003,$A987)&gt;1,"⚠ Duplicate ID","✓"))))</f>
      </c>
    </row>
    <row r="988" spans="22:23" x14ac:dyDescent="0.25">
      <c r="V988" s="42">
        <f>IF($B988="","",SUM(L988:Q988)-SUM(R988:U988))</f>
      </c>
      <c r="W988" s="43">
        <f>IF($B988="","",IF(L988="","⚠ Basic salary missing",IF(SUM(R988:U988)&gt;SUM(L988:Q988),"⚠ Deductions exceed earnings",IF(COUNTIF($A$4:$A$1003,$A988)&gt;1,"⚠ Duplicate ID","✓"))))</f>
      </c>
    </row>
    <row r="989" spans="22:23" x14ac:dyDescent="0.25">
      <c r="V989" s="42">
        <f>IF($B989="","",SUM(L989:Q989)-SUM(R989:U989))</f>
      </c>
      <c r="W989" s="43">
        <f>IF($B989="","",IF(L989="","⚠ Basic salary missing",IF(SUM(R989:U989)&gt;SUM(L989:Q989),"⚠ Deductions exceed earnings",IF(COUNTIF($A$4:$A$1003,$A989)&gt;1,"⚠ Duplicate ID","✓"))))</f>
      </c>
    </row>
    <row r="990" spans="22:23" x14ac:dyDescent="0.25">
      <c r="V990" s="42">
        <f>IF($B990="","",SUM(L990:Q990)-SUM(R990:U990))</f>
      </c>
      <c r="W990" s="43">
        <f>IF($B990="","",IF(L990="","⚠ Basic salary missing",IF(SUM(R990:U990)&gt;SUM(L990:Q990),"⚠ Deductions exceed earnings",IF(COUNTIF($A$4:$A$1003,$A990)&gt;1,"⚠ Duplicate ID","✓"))))</f>
      </c>
    </row>
    <row r="991" spans="22:23" x14ac:dyDescent="0.25">
      <c r="V991" s="42">
        <f>IF($B991="","",SUM(L991:Q991)-SUM(R991:U991))</f>
      </c>
      <c r="W991" s="43">
        <f>IF($B991="","",IF(L991="","⚠ Basic salary missing",IF(SUM(R991:U991)&gt;SUM(L991:Q991),"⚠ Deductions exceed earnings",IF(COUNTIF($A$4:$A$1003,$A991)&gt;1,"⚠ Duplicate ID","✓"))))</f>
      </c>
    </row>
    <row r="992" spans="22:23" x14ac:dyDescent="0.25">
      <c r="V992" s="42">
        <f>IF($B992="","",SUM(L992:Q992)-SUM(R992:U992))</f>
      </c>
      <c r="W992" s="43">
        <f>IF($B992="","",IF(L992="","⚠ Basic salary missing",IF(SUM(R992:U992)&gt;SUM(L992:Q992),"⚠ Deductions exceed earnings",IF(COUNTIF($A$4:$A$1003,$A992)&gt;1,"⚠ Duplicate ID","✓"))))</f>
      </c>
    </row>
    <row r="993" spans="22:23" x14ac:dyDescent="0.25">
      <c r="V993" s="42">
        <f>IF($B993="","",SUM(L993:Q993)-SUM(R993:U993))</f>
      </c>
      <c r="W993" s="43">
        <f>IF($B993="","",IF(L993="","⚠ Basic salary missing",IF(SUM(R993:U993)&gt;SUM(L993:Q993),"⚠ Deductions exceed earnings",IF(COUNTIF($A$4:$A$1003,$A993)&gt;1,"⚠ Duplicate ID","✓"))))</f>
      </c>
    </row>
    <row r="994" spans="22:23" x14ac:dyDescent="0.25">
      <c r="V994" s="42">
        <f>IF($B994="","",SUM(L994:Q994)-SUM(R994:U994))</f>
      </c>
      <c r="W994" s="43">
        <f>IF($B994="","",IF(L994="","⚠ Basic salary missing",IF(SUM(R994:U994)&gt;SUM(L994:Q994),"⚠ Deductions exceed earnings",IF(COUNTIF($A$4:$A$1003,$A994)&gt;1,"⚠ Duplicate ID","✓"))))</f>
      </c>
    </row>
    <row r="995" spans="22:23" x14ac:dyDescent="0.25">
      <c r="V995" s="42">
        <f>IF($B995="","",SUM(L995:Q995)-SUM(R995:U995))</f>
      </c>
      <c r="W995" s="43">
        <f>IF($B995="","",IF(L995="","⚠ Basic salary missing",IF(SUM(R995:U995)&gt;SUM(L995:Q995),"⚠ Deductions exceed earnings",IF(COUNTIF($A$4:$A$1003,$A995)&gt;1,"⚠ Duplicate ID","✓"))))</f>
      </c>
    </row>
    <row r="996" spans="22:23" x14ac:dyDescent="0.25">
      <c r="V996" s="42">
        <f>IF($B996="","",SUM(L996:Q996)-SUM(R996:U996))</f>
      </c>
      <c r="W996" s="43">
        <f>IF($B996="","",IF(L996="","⚠ Basic salary missing",IF(SUM(R996:U996)&gt;SUM(L996:Q996),"⚠ Deductions exceed earnings",IF(COUNTIF($A$4:$A$1003,$A996)&gt;1,"⚠ Duplicate ID","✓"))))</f>
      </c>
    </row>
    <row r="997" spans="22:23" x14ac:dyDescent="0.25">
      <c r="V997" s="42">
        <f>IF($B997="","",SUM(L997:Q997)-SUM(R997:U997))</f>
      </c>
      <c r="W997" s="43">
        <f>IF($B997="","",IF(L997="","⚠ Basic salary missing",IF(SUM(R997:U997)&gt;SUM(L997:Q997),"⚠ Deductions exceed earnings",IF(COUNTIF($A$4:$A$1003,$A997)&gt;1,"⚠ Duplicate ID","✓"))))</f>
      </c>
    </row>
    <row r="998" spans="22:23" x14ac:dyDescent="0.25">
      <c r="V998" s="42">
        <f>IF($B998="","",SUM(L998:Q998)-SUM(R998:U998))</f>
      </c>
      <c r="W998" s="43">
        <f>IF($B998="","",IF(L998="","⚠ Basic salary missing",IF(SUM(R998:U998)&gt;SUM(L998:Q998),"⚠ Deductions exceed earnings",IF(COUNTIF($A$4:$A$1003,$A998)&gt;1,"⚠ Duplicate ID","✓"))))</f>
      </c>
    </row>
    <row r="999" spans="22:23" x14ac:dyDescent="0.25">
      <c r="V999" s="42">
        <f>IF($B999="","",SUM(L999:Q999)-SUM(R999:U999))</f>
      </c>
      <c r="W999" s="43">
        <f>IF($B999="","",IF(L999="","⚠ Basic salary missing",IF(SUM(R999:U999)&gt;SUM(L999:Q999),"⚠ Deductions exceed earnings",IF(COUNTIF($A$4:$A$1003,$A999)&gt;1,"⚠ Duplicate ID","✓"))))</f>
      </c>
    </row>
    <row r="1000" spans="22:23" x14ac:dyDescent="0.25">
      <c r="V1000" s="42">
        <f>IF($B1000="","",SUM(L1000:Q1000)-SUM(R1000:U1000))</f>
      </c>
      <c r="W1000" s="43">
        <f>IF($B1000="","",IF(L1000="","⚠ Basic salary missing",IF(SUM(R1000:U1000)&gt;SUM(L1000:Q1000),"⚠ Deductions exceed earnings",IF(COUNTIF($A$4:$A$1003,$A1000)&gt;1,"⚠ Duplicate ID","✓"))))</f>
      </c>
    </row>
    <row r="1001" spans="22:23" x14ac:dyDescent="0.25">
      <c r="V1001" s="42">
        <f>IF($B1001="","",SUM(L1001:Q1001)-SUM(R1001:U1001))</f>
      </c>
      <c r="W1001" s="43">
        <f>IF($B1001="","",IF(L1001="","⚠ Basic salary missing",IF(SUM(R1001:U1001)&gt;SUM(L1001:Q1001),"⚠ Deductions exceed earnings",IF(COUNTIF($A$4:$A$1003,$A1001)&gt;1,"⚠ Duplicate ID","✓"))))</f>
      </c>
    </row>
    <row r="1002" spans="22:23" x14ac:dyDescent="0.25">
      <c r="V1002" s="42">
        <f>IF($B1002="","",SUM(L1002:Q1002)-SUM(R1002:U1002))</f>
      </c>
      <c r="W1002" s="43">
        <f>IF($B1002="","",IF(L1002="","⚠ Basic salary missing",IF(SUM(R1002:U1002)&gt;SUM(L1002:Q1002),"⚠ Deductions exceed earnings",IF(COUNTIF($A$4:$A$1003,$A1002)&gt;1,"⚠ Duplicate ID","✓"))))</f>
      </c>
    </row>
    <row r="1003" spans="22:23" x14ac:dyDescent="0.25">
      <c r="V1003" s="42">
        <f>IF($B1003="","",SUM(L1003:Q1003)-SUM(R1003:U1003))</f>
      </c>
      <c r="W1003" s="43">
        <f>IF($B1003="","",IF(L1003="","⚠ Basic salary missing",IF(SUM(R1003:U1003)&gt;SUM(L1003:Q1003),"⚠ Deductions exceed earnings",IF(COUNTIF($A$4:$A$1003,$A1003)&gt;1,"⚠ Duplicate ID","✓"))))</f>
      </c>
    </row>
  </sheetData>
  <sheetProtection sheet="1" formatCells="0" formatColumns="0" formatRows="0" insertColumns="0" insertRows="0" deleteRows="0" sort="0" autoFilter="0"/>
  <autoFilter ref="A3:AB3"/>
  <mergeCells count="8">
    <mergeCell ref="A1:F1"/>
    <mergeCell ref="A2:F2"/>
    <mergeCell ref="G2:H2"/>
    <mergeCell ref="I2:K2"/>
    <mergeCell ref="L2:Q2"/>
    <mergeCell ref="R2:U2"/>
    <mergeCell ref="V2:W2"/>
    <mergeCell ref="X2:AB2"/>
  </mergeCells>
  <conditionalFormatting sqref="W4:W1003">
    <cfRule type="containsText" dxfId="0" priority="1">
      <formula>NOT(ISERROR(SEARCH("⚠",W4)))</formula>
    </cfRule>
    <cfRule type="containsText" dxfId="1" priority="2">
      <formula>NOT(ISERROR(SEARCH("✓",W4)))</formula>
    </cfRule>
  </conditionalFormatting>
  <dataValidations count="22">
    <dataValidation type="custom" allowBlank="1" showInputMessage="1" promptTitle="Employee ID" prompt="Unique code per employee, e.g. EMP-001. Required." showErrorMessage="1" errorStyle="stop" errorTitle="Employee ID" error="This Employee ID is already used in another row." sqref="A4:A1003">
      <formula1>COUNTIF($A$4:$A$1003,A4)=1</formula1>
    </dataValidation>
    <dataValidation type="custom" allowBlank="1" showInputMessage="1" promptTitle="IBAN" prompt="IBAN, 24 characters starting with SA." showErrorMessage="1" errorStyle="warning" errorTitle="IBAN" error="A Saudi IBAN has 24 characters starting with SA. Keep it anyway?" sqref="AA4:AA1003">
      <formula1>AND(LEN(SUBSTITUTE(AA4," ",""))=24,LEFT(AA4,2)="SA")</formula1>
    </dataValidation>
    <dataValidation type="textLength" operator="greaterThanOrEqual" allowBlank="1" showInputMessage="1" promptTitle="Employee Name" prompt="Full name as on the Iqama. English or Arabic. Required." showErrorMessage="1" errorStyle="stop" errorTitle="Employee Name" error="Enter the employee name." sqref="B4:B1003">
      <formula1>2</formula1>
    </dataValidation>
    <dataValidation type="custom" allowBlank="1" showInputMessage="1" promptTitle="National ID / Iqama" prompt="10 digits. Saudi IDs start with 1, Iqama numbers with 2. Also used as the PDF password." showErrorMessage="1" errorStyle="warning" errorTitle="National ID / Iqama" error="Expected 10 digits starting with 1 or 2. Keep it anyway?" sqref="C4:C1003">
      <formula1>AND(LEN(C4)=10,ISNUMBER(--C4),OR(LEFT(C4,1)="1",LEFT(C4,1)="2"))</formula1>
    </dataValidation>
    <dataValidation type="date" allowBlank="1" showInputMessage="1" promptTitle="Joining Date" prompt="Date the employee joined, e.g. 15-Mar-2024." showErrorMessage="1" errorStyle="stop" errorTitle="Joining Date" error="Enter a date between 1980 and next year, e.g. 15-Mar-2024." sqref="F4:F1003">
      <formula1>29221</formula1>
      <formula2>46677</formula2>
    </dataValidation>
    <dataValidation type="custom" allowBlank="1" showInputMessage="1" promptTitle="Email" prompt="Work or personal email. Needed to send the payslip by Outlook." showErrorMessage="1" errorStyle="warning" errorTitle="Email" error="This does not look like an email address. Keep it anyway?" sqref="G4:G1003">
      <formula1>AND(ISNUMBER(FIND("@",G4)),ISNUMBER(FIND(".",G4,FIND("@",G4))))</formula1>
    </dataValidation>
    <dataValidation type="custom" allowBlank="1" showInputMessage="1" promptTitle="Mobile" prompt="Mobile number, e.g. 0551234567." showErrorMessage="1" errorStyle="warning" errorTitle="Mobile" error="Saudi mobile numbers look like 0551234567. Keep it anyway?" sqref="H4:H1003">
      <formula1>OR(AND(LEN(H4)=10,LEFT(H4,2)="05"),LEFT(H4,1)="+",LEFT(H4,3)="966")</formula1>
    </dataValidation>
    <dataValidation type="whole" allowBlank="1" showInputMessage="1" promptTitle="Working Days" prompt="Days worked in this month (0 to 31)." showErrorMessage="1" errorStyle="stop" errorTitle="Working Days" error="Working days must be a whole number from 0 to 31." sqref="I4:I1003">
      <formula1>0</formula1>
      <formula2>31</formula2>
    </dataValidation>
    <dataValidation type="custom" allowBlank="1" showInputMessage="1" promptTitle="Absent Days" prompt="Unpaid absent days (0 to 31, not more than working days)." showErrorMessage="1" errorStyle="stop" errorTitle="Absent Days" error="Absent days: a whole number from 0 to 31, not more than working days." sqref="J4:J1003">
      <formula1>AND(ISNUMBER(J4),J4&gt;=0,J4&lt;=31,J4=INT(J4),OR(I4="",J4&lt;=I4))</formula1>
    </dataValidation>
    <dataValidation type="decimal" allowBlank="1" showInputMessage="1" promptTitle="Overtime Hours" prompt="Overtime hours worked this month." showErrorMessage="1" errorStyle="stop" errorTitle="Overtime Hours" error="Overtime hours must be between 0 and 300." sqref="K4:K1003">
      <formula1>0</formula1>
      <formula2>300</formula2>
    </dataValidation>
    <dataValidation type="decimal" allowBlank="1" showInputMessage="1" promptTitle="Basic Salary" prompt="Monthly basic salary. Required." showErrorMessage="1" errorStyle="stop" errorTitle="Basic Salary" error="Enter an amount from 0 to 1,000,000 (no negative numbers; deductions are positive)." sqref="L4:L1003">
      <formula1>0</formula1>
      <formula2>1000000</formula2>
    </dataValidation>
    <dataValidation type="decimal" allowBlank="1" showInputMessage="1" promptTitle="Housing Allowance" prompt="Housing allowance for this month." showErrorMessage="1" errorStyle="stop" errorTitle="Housing Allowance" error="Enter an amount from 0 to 1,000,000 (no negative numbers; deductions are positive)." sqref="M4:M1003">
      <formula1>0</formula1>
      <formula2>1000000</formula2>
    </dataValidation>
    <dataValidation type="decimal" allowBlank="1" showInputMessage="1" promptTitle="Transport Allowance" prompt="Transport allowance for this month." showErrorMessage="1" errorStyle="stop" errorTitle="Transport Allowance" error="Enter an amount from 0 to 1,000,000 (no negative numbers; deductions are positive)." sqref="N4:N1003">
      <formula1>0</formula1>
      <formula2>1000000</formula2>
    </dataValidation>
    <dataValidation type="decimal" allowBlank="1" showInputMessage="1" promptTitle="Food Allowance" prompt="Food allowance for this month." showErrorMessage="1" errorStyle="stop" errorTitle="Food Allowance" error="Enter an amount from 0 to 1,000,000 (no negative numbers; deductions are positive)." sqref="O4:O1003">
      <formula1>0</formula1>
      <formula2>1000000</formula2>
    </dataValidation>
    <dataValidation type="decimal" allowBlank="1" showInputMessage="1" promptTitle="Overtime Pay" prompt="Overtime amount for this month." showErrorMessage="1" errorStyle="stop" errorTitle="Overtime Pay" error="Enter an amount from 0 to 1,000,000 (no negative numbers; deductions are positive)." sqref="P4:P1003">
      <formula1>0</formula1>
      <formula2>1000000</formula2>
    </dataValidation>
    <dataValidation type="decimal" allowBlank="1" showInputMessage="1" promptTitle="Other Earnings" prompt="Bonus or any other earning. For a named item add a column &quot;Earning: Item name&quot;." showErrorMessage="1" errorStyle="stop" errorTitle="Other Earnings" error="Enter an amount from 0 to 1,000,000 (no negative numbers; deductions are positive)." sqref="Q4:Q1003">
      <formula1>0</formula1>
      <formula2>1000000</formula2>
    </dataValidation>
    <dataValidation type="decimal" allowBlank="1" showInputMessage="1" promptTitle="GOSI Deduction" prompt="Employee share of GOSI." showErrorMessage="1" errorStyle="stop" errorTitle="GOSI Deduction" error="Enter an amount from 0 to 1,000,000 (no negative numbers; deductions are positive)." sqref="R4:R1003">
      <formula1>0</formula1>
      <formula2>1000000</formula2>
    </dataValidation>
    <dataValidation type="decimal" allowBlank="1" showInputMessage="1" promptTitle="Absence Deduction" prompt="Deduction for absent days." showErrorMessage="1" errorStyle="stop" errorTitle="Absence Deduction" error="Enter an amount from 0 to 1,000,000 (no negative numbers; deductions are positive)." sqref="S4:S1003">
      <formula1>0</formula1>
      <formula2>1000000</formula2>
    </dataValidation>
    <dataValidation type="decimal" allowBlank="1" showInputMessage="1" promptTitle="Loan / Advance" prompt="Loan or salary advance repayment." showErrorMessage="1" errorStyle="stop" errorTitle="Loan / Advance" error="Enter an amount from 0 to 1,000,000 (no negative numbers; deductions are positive)." sqref="T4:T1003">
      <formula1>0</formula1>
      <formula2>1000000</formula2>
    </dataValidation>
    <dataValidation type="decimal" allowBlank="1" showInputMessage="1" promptTitle="Other Deductions" prompt="Any other deduction. For a named item add a column &quot;Deduction: Item name&quot;." showErrorMessage="1" errorStyle="stop" errorTitle="Other Deductions" error="Enter an amount from 0 to 1,000,000 (no negative numbers; deductions are positive)." sqref="U4:U1003">
      <formula1>0</formula1>
      <formula2>1000000</formula2>
    </dataValidation>
    <dataValidation type="list" allowBlank="1" showInputMessage="1" promptTitle="Nationality" prompt="Nationality (pick from the list or type)." showErrorMessage="1" errorStyle="warning" errorTitle="Nationality" error="Not in the list. Keep it anyway?" sqref="X4:X1003">
      <formula1>Lists!$B$2:$B$30</formula1>
    </dataValidation>
    <dataValidation type="date" allowBlank="1" showInputMessage="1" promptTitle="Date of Birth" prompt="Date of birth. Only needed for the &quot;id+dob&quot; password rule." showErrorMessage="1" errorStyle="stop" errorTitle="Date of Birth" error="Enter a date of birth between 1940 and 16 years ago." sqref="Y4:Y1003">
      <formula1>14611</formula1>
      <formula2>40468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B1:E3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6" customWidth="1"/>
    <col min="3" max="3" width="12" customWidth="1"/>
    <col min="4" max="4" width="70" customWidth="1"/>
    <col min="5" max="5" width="22" customWidth="1"/>
  </cols>
  <sheetData>
    <row r="1" ht="28" customHeight="1" spans="2:5" x14ac:dyDescent="0.25">
      <c r="B1" s="44" t="s">
        <v>271</v>
      </c>
      <c r="C1" s="44"/>
      <c r="D1" s="44"/>
      <c r="E1" s="44"/>
    </row>
    <row r="3" spans="2:5" x14ac:dyDescent="0.25">
      <c r="B3" s="45" t="s">
        <v>272</v>
      </c>
      <c r="C3" t="s">
        <v>273</v>
      </c>
      <c r="D3"/>
      <c r="E3"/>
    </row>
    <row r="4" spans="2:5" x14ac:dyDescent="0.25">
      <c r="B4" s="45" t="s">
        <v>274</v>
      </c>
      <c r="C4" t="s">
        <v>275</v>
      </c>
      <c r="D4"/>
      <c r="E4"/>
    </row>
    <row r="5" spans="2:5" x14ac:dyDescent="0.25">
      <c r="B5" s="45" t="s">
        <v>276</v>
      </c>
      <c r="C5" t="s">
        <v>277</v>
      </c>
      <c r="D5"/>
      <c r="E5"/>
    </row>
    <row r="6" spans="2:5" x14ac:dyDescent="0.25">
      <c r="B6" s="45" t="s">
        <v>278</v>
      </c>
      <c r="C6" t="s">
        <v>279</v>
      </c>
      <c r="D6"/>
      <c r="E6"/>
    </row>
    <row r="7" spans="2:5" x14ac:dyDescent="0.25">
      <c r="B7" s="45" t="s">
        <v>280</v>
      </c>
      <c r="C7" t="s">
        <v>281</v>
      </c>
      <c r="D7"/>
      <c r="E7"/>
    </row>
    <row r="10" spans="2:5" x14ac:dyDescent="0.25">
      <c r="B10" s="46" t="s">
        <v>282</v>
      </c>
      <c r="C10" s="46" t="s">
        <v>283</v>
      </c>
      <c r="D10" s="46" t="s">
        <v>284</v>
      </c>
      <c r="E10" s="46" t="s">
        <v>285</v>
      </c>
    </row>
    <row r="11" spans="2:5" x14ac:dyDescent="0.25">
      <c r="B11" s="47" t="s">
        <v>69</v>
      </c>
      <c r="C11" s="48" t="s">
        <v>286</v>
      </c>
      <c r="D11" s="49" t="s">
        <v>287</v>
      </c>
      <c r="E11" s="48" t="s">
        <v>97</v>
      </c>
    </row>
    <row r="12" spans="2:5" x14ac:dyDescent="0.25">
      <c r="B12" s="47" t="s">
        <v>70</v>
      </c>
      <c r="C12" s="48" t="s">
        <v>286</v>
      </c>
      <c r="D12" s="49" t="s">
        <v>288</v>
      </c>
      <c r="E12" s="48" t="s">
        <v>289</v>
      </c>
    </row>
    <row r="13" spans="2:5" x14ac:dyDescent="0.25">
      <c r="B13" s="47" t="s">
        <v>71</v>
      </c>
      <c r="C13" s="48" t="s">
        <v>290</v>
      </c>
      <c r="D13" s="49" t="s">
        <v>291</v>
      </c>
      <c r="E13" s="48" t="s">
        <v>292</v>
      </c>
    </row>
    <row r="14" spans="2:5" x14ac:dyDescent="0.25">
      <c r="B14" s="47" t="s">
        <v>72</v>
      </c>
      <c r="C14" s="48" t="s">
        <v>290</v>
      </c>
      <c r="D14" s="49" t="s">
        <v>293</v>
      </c>
      <c r="E14" s="48" t="s">
        <v>100</v>
      </c>
    </row>
    <row r="15" spans="2:5" x14ac:dyDescent="0.25">
      <c r="B15" s="47" t="s">
        <v>73</v>
      </c>
      <c r="C15" s="48" t="s">
        <v>290</v>
      </c>
      <c r="D15" s="49" t="s">
        <v>294</v>
      </c>
      <c r="E15" s="48" t="s">
        <v>101</v>
      </c>
    </row>
    <row r="16" spans="2:5" x14ac:dyDescent="0.25">
      <c r="B16" s="47" t="s">
        <v>74</v>
      </c>
      <c r="C16" s="48" t="s">
        <v>290</v>
      </c>
      <c r="D16" s="49" t="s">
        <v>295</v>
      </c>
      <c r="E16" s="48" t="s">
        <v>296</v>
      </c>
    </row>
    <row r="17" spans="2:5" x14ac:dyDescent="0.25">
      <c r="B17" s="50" t="s">
        <v>75</v>
      </c>
      <c r="C17" s="48" t="s">
        <v>290</v>
      </c>
      <c r="D17" s="49" t="s">
        <v>297</v>
      </c>
      <c r="E17" s="48" t="s">
        <v>298</v>
      </c>
    </row>
    <row r="18" spans="2:5" x14ac:dyDescent="0.25">
      <c r="B18" s="50" t="s">
        <v>76</v>
      </c>
      <c r="C18" s="48" t="s">
        <v>290</v>
      </c>
      <c r="D18" s="49" t="s">
        <v>299</v>
      </c>
      <c r="E18" s="48" t="s">
        <v>300</v>
      </c>
    </row>
    <row r="19" spans="2:5" x14ac:dyDescent="0.25">
      <c r="B19" s="51" t="s">
        <v>77</v>
      </c>
      <c r="C19" s="48" t="s">
        <v>290</v>
      </c>
      <c r="D19" s="49" t="s">
        <v>301</v>
      </c>
      <c r="E19" s="48" t="s">
        <v>302</v>
      </c>
    </row>
    <row r="20" spans="2:5" x14ac:dyDescent="0.25">
      <c r="B20" s="51" t="s">
        <v>78</v>
      </c>
      <c r="C20" s="48" t="s">
        <v>290</v>
      </c>
      <c r="D20" s="49" t="s">
        <v>303</v>
      </c>
      <c r="E20" s="48" t="s">
        <v>304</v>
      </c>
    </row>
    <row r="21" spans="2:5" x14ac:dyDescent="0.25">
      <c r="B21" s="51" t="s">
        <v>79</v>
      </c>
      <c r="C21" s="48" t="s">
        <v>290</v>
      </c>
      <c r="D21" s="49" t="s">
        <v>305</v>
      </c>
      <c r="E21" s="48" t="s">
        <v>306</v>
      </c>
    </row>
    <row r="22" spans="2:5" x14ac:dyDescent="0.25">
      <c r="B22" s="52" t="s">
        <v>80</v>
      </c>
      <c r="C22" s="48" t="s">
        <v>286</v>
      </c>
      <c r="D22" s="49" t="s">
        <v>307</v>
      </c>
      <c r="E22" s="48" t="s">
        <v>308</v>
      </c>
    </row>
    <row r="23" spans="2:5" x14ac:dyDescent="0.25">
      <c r="B23" s="52" t="s">
        <v>81</v>
      </c>
      <c r="C23" s="48" t="s">
        <v>290</v>
      </c>
      <c r="D23" s="49" t="s">
        <v>309</v>
      </c>
      <c r="E23" s="48" t="s">
        <v>310</v>
      </c>
    </row>
    <row r="24" spans="2:5" x14ac:dyDescent="0.25">
      <c r="B24" s="52" t="s">
        <v>82</v>
      </c>
      <c r="C24" s="48" t="s">
        <v>290</v>
      </c>
      <c r="D24" s="49" t="s">
        <v>311</v>
      </c>
      <c r="E24" s="48" t="s">
        <v>312</v>
      </c>
    </row>
    <row r="25" spans="2:5" x14ac:dyDescent="0.25">
      <c r="B25" s="52" t="s">
        <v>83</v>
      </c>
      <c r="C25" s="48" t="s">
        <v>290</v>
      </c>
      <c r="D25" s="49" t="s">
        <v>313</v>
      </c>
      <c r="E25" s="48" t="s">
        <v>314</v>
      </c>
    </row>
    <row r="26" spans="2:5" x14ac:dyDescent="0.25">
      <c r="B26" s="52" t="s">
        <v>84</v>
      </c>
      <c r="C26" s="48" t="s">
        <v>290</v>
      </c>
      <c r="D26" s="49" t="s">
        <v>315</v>
      </c>
      <c r="E26" s="48" t="s">
        <v>316</v>
      </c>
    </row>
    <row r="27" spans="2:5" x14ac:dyDescent="0.25">
      <c r="B27" s="52" t="s">
        <v>85</v>
      </c>
      <c r="C27" s="48" t="s">
        <v>290</v>
      </c>
      <c r="D27" s="49" t="s">
        <v>317</v>
      </c>
      <c r="E27" s="48" t="s">
        <v>304</v>
      </c>
    </row>
    <row r="28" spans="2:5" x14ac:dyDescent="0.25">
      <c r="B28" s="53" t="s">
        <v>86</v>
      </c>
      <c r="C28" s="48" t="s">
        <v>290</v>
      </c>
      <c r="D28" s="49" t="s">
        <v>318</v>
      </c>
      <c r="E28" s="48" t="s">
        <v>304</v>
      </c>
    </row>
    <row r="29" spans="2:5" x14ac:dyDescent="0.25">
      <c r="B29" s="53" t="s">
        <v>87</v>
      </c>
      <c r="C29" s="48" t="s">
        <v>290</v>
      </c>
      <c r="D29" s="49" t="s">
        <v>319</v>
      </c>
      <c r="E29" s="48" t="s">
        <v>304</v>
      </c>
    </row>
    <row r="30" spans="2:5" x14ac:dyDescent="0.25">
      <c r="B30" s="53" t="s">
        <v>88</v>
      </c>
      <c r="C30" s="48" t="s">
        <v>290</v>
      </c>
      <c r="D30" s="49" t="s">
        <v>320</v>
      </c>
      <c r="E30" s="48" t="s">
        <v>304</v>
      </c>
    </row>
    <row r="31" spans="2:5" x14ac:dyDescent="0.25">
      <c r="B31" s="53" t="s">
        <v>89</v>
      </c>
      <c r="C31" s="48" t="s">
        <v>290</v>
      </c>
      <c r="D31" s="49" t="s">
        <v>321</v>
      </c>
      <c r="E31" s="48" t="s">
        <v>304</v>
      </c>
    </row>
    <row r="32" spans="2:5" x14ac:dyDescent="0.25">
      <c r="B32" s="54" t="s">
        <v>90</v>
      </c>
      <c r="C32" s="48" t="s">
        <v>322</v>
      </c>
      <c r="D32" s="49" t="s">
        <v>323</v>
      </c>
      <c r="E32" s="48" t="s">
        <v>324</v>
      </c>
    </row>
    <row r="33" spans="2:5" x14ac:dyDescent="0.25">
      <c r="B33" s="54" t="s">
        <v>91</v>
      </c>
      <c r="C33" s="48" t="s">
        <v>322</v>
      </c>
      <c r="D33" s="49" t="s">
        <v>325</v>
      </c>
      <c r="E33" s="48" t="s">
        <v>324</v>
      </c>
    </row>
    <row r="34" spans="2:5" x14ac:dyDescent="0.25">
      <c r="B34" s="55" t="s">
        <v>92</v>
      </c>
      <c r="C34" s="48" t="s">
        <v>290</v>
      </c>
      <c r="D34" s="49" t="s">
        <v>326</v>
      </c>
      <c r="E34" s="48" t="s">
        <v>115</v>
      </c>
    </row>
    <row r="35" spans="2:5" x14ac:dyDescent="0.25">
      <c r="B35" s="55" t="s">
        <v>93</v>
      </c>
      <c r="C35" s="48" t="s">
        <v>290</v>
      </c>
      <c r="D35" s="49" t="s">
        <v>327</v>
      </c>
      <c r="E35" s="48" t="s">
        <v>328</v>
      </c>
    </row>
    <row r="36" spans="2:5" x14ac:dyDescent="0.25">
      <c r="B36" s="55" t="s">
        <v>94</v>
      </c>
      <c r="C36" s="48" t="s">
        <v>290</v>
      </c>
      <c r="D36" s="49" t="s">
        <v>329</v>
      </c>
      <c r="E36" s="48" t="s">
        <v>105</v>
      </c>
    </row>
    <row r="37" spans="2:5" x14ac:dyDescent="0.25">
      <c r="B37" s="55" t="s">
        <v>95</v>
      </c>
      <c r="C37" s="48" t="s">
        <v>290</v>
      </c>
      <c r="D37" s="49" t="s">
        <v>330</v>
      </c>
      <c r="E37" s="48" t="s">
        <v>331</v>
      </c>
    </row>
    <row r="38" spans="2:5" x14ac:dyDescent="0.25">
      <c r="B38" s="55" t="s">
        <v>96</v>
      </c>
      <c r="C38" s="48" t="s">
        <v>290</v>
      </c>
      <c r="D38" s="49" t="s">
        <v>332</v>
      </c>
      <c r="E38" s="48" t="s">
        <v>324</v>
      </c>
    </row>
  </sheetData>
  <mergeCells count="6">
    <mergeCell ref="B1:E1"/>
    <mergeCell ref="C3:E3"/>
    <mergeCell ref="C4:E4"/>
    <mergeCell ref="C5:E5"/>
    <mergeCell ref="C6:E6"/>
    <mergeCell ref="C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Payslips</vt:lpstr>
      <vt:lpstr>Instructions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Payslip Generator</dc:creator>
  <dc:title/>
  <dc:subject/>
  <dc:description/>
  <cp:keywords/>
  <cp:category/>
  <cp:lastModifiedBy>Unknown</cp:lastModifiedBy>
  <dcterms:created xsi:type="dcterms:W3CDTF">2026-10-17T15:20:03Z</dcterms:created>
  <dcterms:modified xsi:type="dcterms:W3CDTF">2026-10-17T15:20:03Z</dcterms:modified>
</cp:coreProperties>
</file>